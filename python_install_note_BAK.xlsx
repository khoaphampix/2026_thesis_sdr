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yenv" sheetId="1" r:id="rId4"/>
    <sheet state="visible" name="Sheet21" sheetId="2" r:id="rId5"/>
    <sheet state="visible" name="Docker" sheetId="3" r:id="rId6"/>
    <sheet state="visible" name="KONG" sheetId="4" r:id="rId7"/>
    <sheet state="visible" name="mysql" sheetId="5" r:id="rId8"/>
    <sheet state="visible" name="ssh" sheetId="6" r:id="rId9"/>
    <sheet state="visible" name="postgres" sheetId="7" r:id="rId10"/>
    <sheet state="visible" name="TC" sheetId="8" r:id="rId11"/>
    <sheet state="visible" name="VIM_" sheetId="9" r:id="rId12"/>
    <sheet state="visible" name="linux" sheetId="10" r:id="rId13"/>
    <sheet state="visible" name="fast-api Flask" sheetId="11" r:id="rId14"/>
    <sheet state="visible" name="draft_sql" sheetId="12" r:id="rId15"/>
    <sheet state="visible" name="Copy of git_control" sheetId="13" r:id="rId16"/>
    <sheet state="visible" name="pio" sheetId="14" r:id="rId17"/>
    <sheet state="visible" name="_venv" sheetId="15" r:id="rId18"/>
    <sheet state="visible" name="use_full_dir" sheetId="16" r:id="rId19"/>
    <sheet state="visible" name="git_control" sheetId="17" r:id="rId20"/>
    <sheet state="visible" name="python note" sheetId="18" r:id="rId21"/>
    <sheet state="visible" name="Server_config" sheetId="19" r:id="rId22"/>
  </sheets>
  <definedNames/>
  <calcPr/>
  <extLst>
    <ext uri="GoogleSheetsCustomDataVersion1">
      <go:sheetsCustomData xmlns:go="http://customooxmlschemas.google.com/" r:id="rId23" roundtripDataSignature="AMtx7mi8GzIjFDg7GAL1BQ8vJ/tIzp33AQ=="/>
    </ext>
  </extLst>
</workbook>
</file>

<file path=xl/sharedStrings.xml><?xml version="1.0" encoding="utf-8"?>
<sst xmlns="http://schemas.openxmlformats.org/spreadsheetml/2006/main" count="472" uniqueCount="405">
  <si>
    <t>check-version</t>
  </si>
  <si>
    <t>https://www.tensorflow.org/install/source</t>
  </si>
  <si>
    <t>PIP</t>
  </si>
  <si>
    <t>pip uninstall -y -r &lt;(pip freeze)</t>
  </si>
  <si>
    <t>https://github.com/pyenv/pyenv-virtualenv</t>
  </si>
  <si>
    <t>install_package</t>
  </si>
  <si>
    <t xml:space="preserve">upgrade pip or downgrade </t>
  </si>
  <si>
    <t>pip install --upgrade pip==19.0</t>
  </si>
  <si>
    <t>pyenv</t>
  </si>
  <si>
    <t>pyenv versions</t>
  </si>
  <si>
    <t>pyenv install -l</t>
  </si>
  <si>
    <t>pyenv install 3.7.7</t>
  </si>
  <si>
    <t>pyenv install 2.7.18</t>
  </si>
  <si>
    <r>
      <rPr>
        <rFont val="Arial"/>
        <color rgb="FF000000"/>
        <sz val="12.0"/>
      </rPr>
      <t xml:space="preserve">pyenv virtualenv 3.7.2 demo3.7.2
</t>
    </r>
  </si>
  <si>
    <t>pyenv virtualenv 3.7.7 productDB3.7.7</t>
  </si>
  <si>
    <t>pyenv virtualenv 2.7.18 gps-portal-env-2.7.18</t>
  </si>
  <si>
    <t>pyenv activate   my-virtual-env-2.7.17</t>
  </si>
  <si>
    <t xml:space="preserve">eval "$(pyenv init -)" </t>
  </si>
  <si>
    <t>eval "$(pyenv init -)"</t>
  </si>
  <si>
    <t xml:space="preserve">pyenv activate  my-virtual-env-2.7.17 </t>
  </si>
  <si>
    <t>eval "$(pyenv virtualenv-init -)"</t>
  </si>
  <si>
    <t>cd keras-multi-label/FlaskIntroduction-master/deploy</t>
  </si>
  <si>
    <t xml:space="preserve">pyenv shell my-virtual-env-3.6.7 </t>
  </si>
  <si>
    <t>pyenv shell gps-portal-env-2.7.18</t>
  </si>
  <si>
    <t>pyenv virtualenv 2.7.17 my-v</t>
  </si>
  <si>
    <t xml:space="preserve">python classify.py --model decloset.model --labelbin mlb.pickle --image examples/example_01.jpg
</t>
  </si>
  <si>
    <t>pyenv activate my-virtual-env-3.6.0</t>
  </si>
  <si>
    <t xml:space="preserve">
</t>
  </si>
  <si>
    <t>pyenv activate my-virtual-env-2.7.17</t>
  </si>
  <si>
    <t>pyenv uninstall my-virtual-env</t>
  </si>
  <si>
    <t>? y</t>
  </si>
  <si>
    <t>pyenv virtualenv-delete my-virtual-env</t>
  </si>
  <si>
    <t>? -&gt; y</t>
  </si>
  <si>
    <t>only 1</t>
  </si>
  <si>
    <t xml:space="preserve"> eval "$(pyenv init -)" &gt; pyenv activate  my-virtual-env-2.7.17 &gt;  cd keras-multi-label/FlaskIntroduction-master/deploy</t>
  </si>
  <si>
    <t>Macbook cannot use GPU then tensorflow-gpu==1.8.0</t>
  </si>
  <si>
    <t>https://www.tensorflow.org/install/pip#1.-install-the-python-development-environment-on-your-system</t>
  </si>
  <si>
    <t>Fast API</t>
  </si>
  <si>
    <t>pyenv activate my keras-virtual-env-3.6.4</t>
  </si>
  <si>
    <t>Run Keras tensorflow</t>
  </si>
  <si>
    <t>run Flask</t>
  </si>
  <si>
    <t>python app.py</t>
  </si>
  <si>
    <t>run fastapi</t>
  </si>
  <si>
    <t>vunicorn</t>
  </si>
  <si>
    <t>Ubuntu pyenv</t>
  </si>
  <si>
    <t>pyenv install --list</t>
  </si>
  <si>
    <t>https://www.liquidweb.com/kb/how-to-install-pyenv-on-ubuntu-18-04/</t>
  </si>
  <si>
    <t>good</t>
  </si>
  <si>
    <t>https://akrabat.com/creating-virtual-environments-with-pyenv/</t>
  </si>
  <si>
    <t>https://www.liquidweb.com/kb/how-to-install-pyenv-virtualenv-on-ubuntu-18-04/</t>
  </si>
  <si>
    <t>31/8</t>
  </si>
  <si>
    <t>31-08-2021 23:05</t>
  </si>
  <si>
    <t>Slipshavnsvej 7, 5800 Nyborg</t>
  </si>
  <si>
    <t>Egedesvej 16, 4600 Køge</t>
  </si>
  <si>
    <t>31-08-2021 22:49</t>
  </si>
  <si>
    <t>31-08-2021 22:53</t>
  </si>
  <si>
    <t>Lindholmvej 6, 5800 Nyborg</t>
  </si>
  <si>
    <t>31-08-2021 22:35</t>
  </si>
  <si>
    <t>31-08-2021 22:37</t>
  </si>
  <si>
    <t>31-08-2021 20:36</t>
  </si>
  <si>
    <t>Hf Fuglevang 10, 8700 Horsens</t>
  </si>
  <si>
    <t>31-08-2021 18:45</t>
  </si>
  <si>
    <t>31-08-2021 20:23</t>
  </si>
  <si>
    <t>Beringvej 9, 8361 Hasselager</t>
  </si>
  <si>
    <t>31-08-2021 17:13</t>
  </si>
  <si>
    <t>31-08-2021 18:18</t>
  </si>
  <si>
    <t>Østjyske Motorvej 617B, 7100 Vejle</t>
  </si>
  <si>
    <t>31-08-2021 14:27</t>
  </si>
  <si>
    <t>31-08-2021 17:03</t>
  </si>
  <si>
    <t>Teglevej 9B, 2640 Hedehusene</t>
  </si>
  <si>
    <t>31-08-2021 14:06</t>
  </si>
  <si>
    <t>31-08-2021 14:18</t>
  </si>
  <si>
    <t>Vestre Hedevej 16B, 4000 Roskilde</t>
  </si>
  <si>
    <t>31-08-2021 12:45</t>
  </si>
  <si>
    <t>31-08-2021 13:48</t>
  </si>
  <si>
    <t>30-08-2021 20:29</t>
  </si>
  <si>
    <t>30-08-2021 23:27</t>
  </si>
  <si>
    <t>Østjyske Motorvej 536, 8660 Skanderborg</t>
  </si>
  <si>
    <t>30-08-2021 19:15</t>
  </si>
  <si>
    <t>30-08-2021 20:18</t>
  </si>
  <si>
    <t>30-08-2021 19:01</t>
  </si>
  <si>
    <t>30-08-2021 19:06</t>
  </si>
  <si>
    <t>Brunagervej 2, 8361 Hasselager</t>
  </si>
  <si>
    <t>30-08-2021 17:25</t>
  </si>
  <si>
    <t>30-08-2021 18:57</t>
  </si>
  <si>
    <t>Fynske Motorvej 532B, 5492 Vissenbjerg</t>
  </si>
  <si>
    <t>30-08-2021 14:52</t>
  </si>
  <si>
    <t>30-08-2021 17:17</t>
  </si>
  <si>
    <t>Vallensbækvej 34, 2605 Brøndby</t>
  </si>
  <si>
    <t>30-08-2021 13:13</t>
  </si>
  <si>
    <t>30-08-2021 14:38</t>
  </si>
  <si>
    <t>CL 37188 Søren / ...</t>
  </si>
  <si>
    <t>26-08-2021 18:17</t>
  </si>
  <si>
    <t>26-08-2021 19:05</t>
  </si>
  <si>
    <t>26-08-2021 17:12</t>
  </si>
  <si>
    <t>26-08-2021 18:09</t>
  </si>
  <si>
    <t>Vestmotorvejen 367C, 4180 Sorø</t>
  </si>
  <si>
    <t>26-08-2021 16:21</t>
  </si>
  <si>
    <t>26-08-2021 16:28</t>
  </si>
  <si>
    <t>Ølsgårdsvej 3, 4180 Sorø</t>
  </si>
  <si>
    <t>26-08-2021 14:51</t>
  </si>
  <si>
    <t>26-08-2021 15:51</t>
  </si>
  <si>
    <t>26-08-2021 14:20</t>
  </si>
  <si>
    <t>26-08-2021 14:39</t>
  </si>
  <si>
    <t>Industrigrenen 4T, 2635 Ishøj</t>
  </si>
  <si>
    <t>26-08-2021 13:10</t>
  </si>
  <si>
    <t>26-08-2021 13:54</t>
  </si>
  <si>
    <t>Jagtvej 108, 2200 København N</t>
  </si>
  <si>
    <t>26-08-2021 12:26</t>
  </si>
  <si>
    <t>26-08-2021 12:28</t>
  </si>
  <si>
    <t>Thorsgade 93, 2200 København N</t>
  </si>
  <si>
    <t>Ydunsgade 2, 2200 København N</t>
  </si>
  <si>
    <t>26-08-2021 11:08</t>
  </si>
  <si>
    <t>26-08-2021 11:14</t>
  </si>
  <si>
    <t>Fælledvej 6, 2200 København N</t>
  </si>
  <si>
    <t>Ydunsgade 10, 2200 København N</t>
  </si>
  <si>
    <t>26-08-2021 10:18</t>
  </si>
  <si>
    <t>26-08-2021 10:49</t>
  </si>
  <si>
    <t>26-08-2021 08:55</t>
  </si>
  <si>
    <t>26-08-2021 09:22</t>
  </si>
  <si>
    <t>km tới 99000</t>
  </si>
  <si>
    <t>_x0008_referrence</t>
  </si>
  <si>
    <t>http://www.containertutorials.com/</t>
  </si>
  <si>
    <t>docker install</t>
  </si>
  <si>
    <t>ubuntu</t>
  </si>
  <si>
    <t>https://docs.docker.com/engine/install/ubuntu/</t>
  </si>
  <si>
    <t xml:space="preserve">Dockerfile </t>
  </si>
  <si>
    <t>docker-composer build</t>
  </si>
  <si>
    <t>docker-composer up</t>
  </si>
  <si>
    <t>docker rm $(docker ps -a -q)</t>
  </si>
  <si>
    <t>docker stop $(docker ps -a -q);
docker rm $(docker ps -a -q);
docker rmi $(docker _x0008_image ls -a -q)</t>
  </si>
  <si>
    <t>docker stop $(docker ps -a -q)</t>
  </si>
  <si>
    <t>start all</t>
  </si>
  <si>
    <t>docker start $(docker ps -a -q)</t>
  </si>
  <si>
    <t>docker ps -a -q</t>
  </si>
  <si>
    <t>docker rmi $(docker _x0008_image ls -a -q)</t>
  </si>
  <si>
    <t>docker image list -a -q</t>
  </si>
  <si>
    <t xml:space="preserve">docker image list -a </t>
  </si>
  <si>
    <t>container_logs</t>
  </si>
  <si>
    <t xml:space="preserve"> cd /var/lib/docker/containers/</t>
  </si>
  <si>
    <t>docker rmi $(docker image list -a -q)</t>
  </si>
  <si>
    <t>docker stop $(docker ps -a -q) &amp;&amp;
docker rm $(docker ps -a -q) &amp;&amp; 
docker rmi $(docker _x0008_image ls -a -q)</t>
  </si>
  <si>
    <t>docker-composer.yml</t>
  </si>
  <si>
    <t>docker exec -i f63f22c78749 mysql -uroot -psecret decloset &lt; db_20210125;</t>
  </si>
  <si>
    <t>https://gist.github.com/hofmannsven/9164408</t>
  </si>
  <si>
    <t xml:space="preserve"> docker run -d -p 8800:8800 -p 9900:9900 --name=portainer --restart=always -v /var/run/docker.sock:/var/run/docker.sock -v portainer_data:/data portainer/portainer-ce
</t>
  </si>
  <si>
    <t>mysql</t>
  </si>
  <si>
    <t xml:space="preserve"> docker exec -it 081c7050eb15 /bin/bash</t>
  </si>
  <si>
    <t>larevel</t>
  </si>
  <si>
    <t xml:space="preserve"> docker exec -it 24ef05ecf8a2 /bin/bash</t>
  </si>
  <si>
    <t>import database</t>
  </si>
  <si>
    <t>docker exec -i 617c7d4cf2e6 mysql -uroot -psecret laravel &lt; db_20210125;</t>
  </si>
  <si>
    <t>docker network create kong-net</t>
  </si>
  <si>
    <t>PostgreSQL as Kong’s database</t>
  </si>
  <si>
    <t xml:space="preserve">docker run -d --name kong-database \
               --network=kong-net \
               -p 5432:5432 \
               -e "POSTGRES_USER=kong" \
               -e "POSTGRES_DB=kong" \
               -e "POSTGRES_PASSWORD=kong" \
               postgres:9.6
</t>
  </si>
  <si>
    <t xml:space="preserve">docker run -d --name kong-database \
               --network=kong-net \
               -p 54329:54329 \
               -e "POSTGRES_USER=kong" \
               -e "POSTGRES_DB=kong" \
               -e "POSTGRES_PASSWORD=kong" \
               postgres:9.6
</t>
  </si>
  <si>
    <t xml:space="preserve">docker run -d --name kong-database \
 --network=kong-net \
 -p 5432:5432 \
 -e "POSTGRES_USER=kong" \
 -e "POSTGRES_DB=kong" \
 postgres:9.6
</t>
  </si>
  <si>
    <t>migration Kong container DB</t>
  </si>
  <si>
    <t xml:space="preserve">docker run --rm \
     --network=kong-net \
     -e "KONG_DATABASE=postgres" \
     -e "KONG_PG_HOST=kong-database" \
     -e "KONG_PG_USER=kong" \
     -e "KONG_PG_PASSWORD=kong" \
     -e "KONG_CASSANDRA_CONTACT_POINTS=kong-database" \
     kong:latest kong migrations bootstrap
</t>
  </si>
  <si>
    <t>docker run --rm \
 --network=kong-net \
 -e "KONG_DATABASE=postgres" \
 -e "KONG_PG_HOST=kong-database" \
 kong:latest kong migrations up</t>
  </si>
  <si>
    <t>INstall KONG</t>
  </si>
  <si>
    <t xml:space="preserve">docker run -d --name kong \
     --network=kong-net \
     -e "KONG_DATABASE=postgres" \
     -e "KONG_PG_HOST=kong-database" \
     -e "KONG_PG_USER=kong" \
     -e "KONG_PG_PASSWORD=kong" \
     -e "KONG_CASSANDRA_CONTACT_POINTS=kong-database" \
     -e "KONG_PROXY_ACCESS_LOG=/dev/stdout" \
     -e "KONG_ADMIN_ACCESS_LOG=/dev/stdout" \
     -e "KONG_PROXY_ERROR_LOG=/dev/stderr" \
     -e "KONG_ADMIN_ERROR_LOG=/dev/stderr" \
     -e "KONG_ADMIN_LISTEN=0.0.0.0:8001, 0.0.0.0:8444 ssl" \
     -p 8000:8000 \
     -p 8443:8443 \
     -p 127.0.0.1:8001:8001 \
     -p 127.0.0.1:8444:8444 \
     kong:latest
</t>
  </si>
  <si>
    <t>docker run -d --name kong \     
             --network=kong-net \     
             -e "KONG_DATABASE=postgres" \     
             -e "KONG_PG_HOST=kong-database" \         
             -e "KONG_PROXY_ACCESS_LOG=/dev/stdout" \     
             -e "KONG_ADMIN_ACCESS_LOG=/dev/stdout" \     
             -e "KONG_PROXY_ERROR_LOG=/dev/stderr" \     
             -e "KONG_ADMIN_ERROR_LOG=/dev/stderr" \     
             -e "KONG_ADMIN_LISTEN=0.0.0.0:8001, 0.0.0.0:8444 ssl" \     
             -p 8000:8000 \     
             -p 8443:8443 \     
             -p 8001:8001 \     
             -p 8444:8444 \     
             kong:latest</t>
  </si>
  <si>
    <t>Installing Konga</t>
  </si>
  <si>
    <t xml:space="preserve">docker run -d -p 1337:1337 \
             --network=kong-net \
             --name konga \
             -v /var/data/kongadata:/app/kongadata \
             -e "NODE_ENV=production" \
             pantsel/konga
</t>
  </si>
  <si>
    <t xml:space="preserve"> prepare Konga’s database</t>
  </si>
  <si>
    <t xml:space="preserve">
OK</t>
  </si>
  <si>
    <t>docker run --rm \ --network=kong-net \  pantsel/konga -c prepare -a postgres -u postgresql://kong@kong-database:5432/konga_db</t>
  </si>
  <si>
    <t>docker run --rm  --network=kong-net  pantsel/konga -c prepare -a postgres -u postgresql -p kong://kong@kong-database:5432/konga_db</t>
  </si>
  <si>
    <t>Migration DB for konga</t>
  </si>
  <si>
    <t>docker run -p 1337:1337 \
             --network=kong-net \
             -e "DB_ADAPTER=postgres" \
             -e "DB_HOST=kong-database" \
             -e "DB_USER=kong" \
             -e "DB_DATABASE=konga_db" \
             -e "KONGA_HOOK_TIMEOUT=120000" \
             -e "NODE_ENV=production" \
             --name konga \
             pantsel/konga</t>
  </si>
  <si>
    <t xml:space="preserve">
Ok</t>
  </si>
  <si>
    <t>docker run -p 1337:1337 --network=kong-net -e "DB_ADAPTER=postgres"  -e "DB_HOST=kong-database"  -e "DB_USER=kong"  -e "DB_DATABASE=konga_db"  -e "KONG_PG_PASSWORD=kong"  -e "KONGA_HOOK_TIMEOUT=120000"  -e "NODE_ENV=production"  --name konga pantsel/konga</t>
  </si>
  <si>
    <t xml:space="preserve">-e "KONG_PG_PASSWORD=kong" 
</t>
  </si>
  <si>
    <t>mysql -u root -p;</t>
  </si>
  <si>
    <t>mysql -u username -p new_database &lt; data-dump.sql</t>
  </si>
  <si>
    <t xml:space="preserve">mysql -u root -p declosetdb &lt; decloset_20210114 </t>
  </si>
  <si>
    <t>create database decloset;</t>
  </si>
  <si>
    <t>drop database data_X;</t>
  </si>
  <si>
    <t>delete on Att_inv</t>
  </si>
  <si>
    <t>DELETE FROM attribute_inventory 
WHERE  ISNULl(product_id);</t>
  </si>
  <si>
    <t>show databases;</t>
  </si>
  <si>
    <t>cmd command</t>
  </si>
  <si>
    <t>create database data_Y;</t>
  </si>
  <si>
    <t>LARAVEL</t>
  </si>
  <si>
    <t>show tables;</t>
  </si>
  <si>
    <t>1. mysql import database</t>
  </si>
  <si>
    <t xml:space="preserve"> show databases;</t>
  </si>
  <si>
    <t>2. install laravel</t>
  </si>
  <si>
    <t>NOT IN attr_invent</t>
  </si>
  <si>
    <t>DELETE FROM products 
WHERE id NOT IN (SELECT DISTINCT (product_id)
FROM attribute_inventory)</t>
  </si>
  <si>
    <t xml:space="preserve">SET FOREIGN_KEY_CHECKS=OFF; </t>
  </si>
  <si>
    <t>use database_x;</t>
  </si>
  <si>
    <t>- install composer</t>
  </si>
  <si>
    <t>//run the queries which are giving foreign key errors</t>
  </si>
  <si>
    <t>import file .sql</t>
  </si>
  <si>
    <t>source C://data/sql/file_db_mysql.sql</t>
  </si>
  <si>
    <t>- install laravel</t>
  </si>
  <si>
    <t>SET FOREIGN_KEY_CHECKS=ON; // enabling foreign key</t>
  </si>
  <si>
    <t>NOT IN PRODUCT</t>
  </si>
  <si>
    <t>DELETE FROM inventories
WHERE product_id NOT IN (SELECT id 
FROM products)</t>
  </si>
  <si>
    <t>INSERT INTO decloset.attribute_inventory (SELECT * FROM decloset_origin.attribute_inventory);</t>
  </si>
  <si>
    <t>NOT IN INVENTORY</t>
  </si>
  <si>
    <t>DELETE FROM cart_items
WHERE inventory_id NOT IN (SELECT id 
FROM inventories)</t>
  </si>
  <si>
    <t>mysql -u root -p decloset &lt; /home/db_20210125</t>
  </si>
  <si>
    <t xml:space="preserve">import database to docker </t>
  </si>
  <si>
    <t>NOT IN CART_ITEM</t>
  </si>
  <si>
    <t>DELETE FROM carts
WHERE id NOT IN (SELECT cart_id 
FROM cart_items)</t>
  </si>
  <si>
    <t>docker exec -i 081c7050eb15 mysql -uroot -psecret decloset &lt; /home/db_20210125;</t>
  </si>
  <si>
    <t>docker exec -i &lt;081c7050eb15&gt; mysql -uroot -psecret decloset &lt; /home/db_20210125;</t>
  </si>
  <si>
    <t xml:space="preserve">_x0008_docker&gt; mysql-docker &gt; mysql&gt; exec </t>
  </si>
  <si>
    <t>??</t>
  </si>
  <si>
    <t xml:space="preserve">docker run -it mysql-container-id -uroot -psecret -e " create database decloset; show databases; "
</t>
  </si>
  <si>
    <t>EXPORT DATABASE</t>
  </si>
  <si>
    <t>https://www.digitalocean.com/community/questions/how-to-export-mysql-database-with-terminal</t>
  </si>
  <si>
    <t>mysqldump -u root -p mydatabase &gt; /home/myuser/database-dump.sql</t>
  </si>
  <si>
    <t>mysqldump -u root -p decloset &gt; /home/database-dump-2021.sql</t>
  </si>
  <si>
    <t>import</t>
  </si>
  <si>
    <t>export</t>
  </si>
  <si>
    <t>docker exec -i 2d4dde070516 mysqldump -u root -psecret decloset &gt; /home/database_18PM_24042021_BAK.sql</t>
  </si>
  <si>
    <t>docker exec -it 24b995b66cb4 /bin/bash</t>
  </si>
  <si>
    <t>docker exec -i 24b995b66cb4 mysql -uroot -psecret decloset &lt; /home/temp_save_file/database_customer_20210218.sql;</t>
  </si>
  <si>
    <t>docker exec -it 2d4dde070516 /bin/bash</t>
  </si>
  <si>
    <t>docker exec -i 2d4dde070516 mysql -uroot -psecret decloset_origin_new &lt; /home/database_backup/DB23022021_BAK.sql</t>
  </si>
  <si>
    <t>insert table_content</t>
  </si>
  <si>
    <t>USE db2;
CREATE TABLE table2 LIKE db1.table1;
INSERT INTO table2  
    SELECT * FROM db1.table1;</t>
  </si>
  <si>
    <t>Thanhcong@A9uS9uW</t>
  </si>
  <si>
    <t xml:space="preserve">
Bỏ</t>
  </si>
  <si>
    <t>ssh root@103.90.228.165</t>
  </si>
  <si>
    <t>h2%ogI9xgGvN</t>
  </si>
  <si>
    <t>docker exec -it 67c82c0e09cf /bin/bash</t>
  </si>
  <si>
    <t xml:space="preserve">curl https://ipinfo.io/ip
</t>
  </si>
  <si>
    <t xml:space="preserve">ssh copy to a folder </t>
  </si>
  <si>
    <t>scp username@host.com:/dir/of/file.txt \local\dir\file.txt</t>
  </si>
  <si>
    <t>OK</t>
  </si>
  <si>
    <t>scp root@103.90.228.165:~root/decloset_20210114 /</t>
  </si>
  <si>
    <t>A Quới</t>
  </si>
  <si>
    <t>pass</t>
  </si>
  <si>
    <t>ssh root@103.153.72.193</t>
  </si>
  <si>
    <t>jNj9uGA5bZF5MQ922bAFyD9</t>
  </si>
  <si>
    <t>dev-ico</t>
  </si>
  <si>
    <t>ssh root@103.153.72.193
Tên server: Main-ICOSOFT_060121
Tên đăng nhập: root
Mật khẩu: jNj9uGA5bZF5MQ922bAFyD9</t>
  </si>
  <si>
    <t xml:space="preserve">Tên server: Main-ICOSOFT_060121
Tên đăng nhập: root
</t>
  </si>
  <si>
    <t>check server</t>
  </si>
  <si>
    <t>netstat -lpnt</t>
  </si>
  <si>
    <t>FOLDER LOCAL TO REMOTE SERVER</t>
  </si>
  <si>
    <t xml:space="preserve">FOLDER </t>
  </si>
  <si>
    <t xml:space="preserve"> scp -r /Users/admin/0.Khoa_source_code/TC_project/AI/decloset-ai-recommend root@103.153.72.193:/home</t>
  </si>
  <si>
    <t xml:space="preserve">
FILE</t>
  </si>
  <si>
    <t>scp /Users/admin/db_20210125 root@103.153.72.193:/home</t>
  </si>
  <si>
    <t>show env</t>
  </si>
  <si>
    <t xml:space="preserve">
printenv</t>
  </si>
  <si>
    <t xml:space="preserve"> scp -r /Users/admin/0.Khoa_source_code/TC_project/AI/decloset-ai root@27.71.238.2:/home</t>
  </si>
  <si>
    <t>26/01/2020</t>
  </si>
  <si>
    <t>new ---------</t>
  </si>
  <si>
    <t>hành Công gửi thông tin cài đặt server như sau:
 ——————————— SERVER AI ———————————
IP Public        : 27.71.238.4--- IP LAN 192.168.1.4
user: icosoft
pass: 5dN9xO9jA
 ——————————— SERVER CMS ———————————
IP Public        : 27.71.238.2--- IP LAN 192.168.1.2
user: icosoftap
pass: 4gM2kT6aW
Passphrase for key "rsa-key-20200727": Thanhcong@363
2 con server trên user: root/pass: root/Thanhcong@A9uS9uW
KONG SERVER 
ssh root@171.244.202.10</t>
  </si>
  <si>
    <t>_x001b_</t>
  </si>
  <si>
    <t>ssh root@171.244.202.10</t>
  </si>
  <si>
    <t>Pass:</t>
  </si>
  <si>
    <t>ssh root@27.71.238.2</t>
  </si>
  <si>
    <t>27.71.238.2</t>
  </si>
  <si>
    <t xml:space="preserve">CMS </t>
  </si>
  <si>
    <t>docker exec -it d5662fec1b5d /bin/bash</t>
  </si>
  <si>
    <t>ssh root@27.71.238.4</t>
  </si>
  <si>
    <t>AI</t>
  </si>
  <si>
    <t>https://gist.github.com/Kartones/dd3ff5ec5ea238d4c546</t>
  </si>
  <si>
    <t>Remove all tables</t>
  </si>
  <si>
    <t>DROP SCHEMA public CASCADE;
CREATE SCHEMA public;
GRANT ALL ON SCHEMA public TO postgres;
GRANT ALL ON SCHEMA public TO public;
COMMENT ON SCHEMA public IS 'standard public schema';
DO $$ DECLARE
    r RECORD;
BEGIN
    FOR r IN (SELECT tablename FROM pg_tables WHERE schemaname = current_schema()) LOOP
        EXECUTE 'DROP TABLE IF EXISTS ' || quote_ident(r.tablename) || ' CASCADE';
    END LOOP;
END $$;</t>
  </si>
  <si>
    <t>superadmin@demo.com</t>
  </si>
  <si>
    <t>MerChantAdmin@2020</t>
  </si>
  <si>
    <t>enable to insert</t>
  </si>
  <si>
    <t>_x001c_a -&gt;enter</t>
  </si>
  <si>
    <t>close without save</t>
  </si>
  <si>
    <t>:q!</t>
  </si>
  <si>
    <t>close +save</t>
  </si>
  <si>
    <t>:
wq</t>
  </si>
  <si>
    <t xml:space="preserve">clear file </t>
  </si>
  <si>
    <t>https://phoenixnap.com/kb/how-to-delete-line-vim</t>
  </si>
  <si>
    <t>delete all line</t>
  </si>
  <si>
    <t>:%d</t>
  </si>
  <si>
    <t>save</t>
  </si>
  <si>
    <t>not save</t>
  </si>
  <si>
    <t>VIM</t>
  </si>
  <si>
    <t>ESC</t>
  </si>
  <si>
    <t>:x</t>
  </si>
  <si>
    <t>:q</t>
  </si>
  <si>
    <t>https://phoenixnap.com/kb/how-to-vim-save-quit-exit</t>
  </si>
  <si>
    <t>sudo chmod -R 777</t>
  </si>
  <si>
    <t>sudo apt get update</t>
  </si>
  <si>
    <t>cat text.txt</t>
  </si>
  <si>
    <t xml:space="preserve">sudo install ? dpkg </t>
  </si>
  <si>
    <t>copy file vis ssh</t>
  </si>
  <si>
    <t>https://www.simplified.guide/ssh/copy-file</t>
  </si>
  <si>
    <t>scp /home/khoa/Downloads/database_customer_20210218.sql ssh root@27.71.238.2:/home</t>
  </si>
  <si>
    <t>scp /Users/admin/0.Khoa_source_code/TC_project/AI/decloset-ai-recommend
 ssh root@103.153.72.193:/home</t>
  </si>
  <si>
    <t xml:space="preserve">/Users/admin/0.Khoa_source_code/TC_project/CMS_NEW_A_DUC/back_up_before_deploy_NOTED/deploy_15H30PM_27_02_2021_NEWEST/decloset-be-deploy_20210202/application/app
</t>
  </si>
  <si>
    <t>scp -r /Users/admin/0.Khoa_source_code/TC_project/CMS_NEW_A_DUC/back_up_before_deploy_NOTED/deploy_11AM_28_02_2021_NEWEST/decloset-be-deploy_20210202/application/app root@103.153.72.193:/home/decloset-be</t>
  </si>
  <si>
    <t>scp -r /Users/admin/0.Khoa_source_code/TC_project/CMS_NEW_A_DUC/deploy_back_up/deploy_17h_24_02_21_NEWEST/decloset-be-deploy_20210202/application/routes root@103.153.72.193:/home/decloset-be</t>
  </si>
  <si>
    <t xml:space="preserve">COPY FOLDER LOCAL TO REMOTE SERVER
 scp -r /Users/admin/0.Khoa_source_code/TC_project/AI/decloset-ai-recommend root@103.153.72.193://home/decloset-be
</t>
  </si>
  <si>
    <t>scp -r /Users/admin/0.Khoa_source_code/TC_project/CMS_NEW_A_DUC/deploy_back_up/deploy_19h_24_02_21_NEWEST/decloset-be-deploy_20210202/application/public root@103.153.72.193:/home/decloset-be</t>
  </si>
  <si>
    <t xml:space="preserve"> scp -r /Users/admin/0.Khoa_source_code/TC_project/AI/decloset-ai-recommend root@27.71.238.2:/home</t>
  </si>
  <si>
    <t xml:space="preserve">rsync -avz -e 'ssh' /path/to/local/dir user@remotehost:/path/to/remote/dir
</t>
  </si>
  <si>
    <t xml:space="preserve">scp -ra /path/to/local/storage user@remote.host:/path/to/copy
</t>
  </si>
  <si>
    <t>cp /home/tc-release-master/composer.json decloset-be/</t>
  </si>
  <si>
    <t>scp -r /Users/admin/0.Khoa_source_code/TC_project/CMS_NEW_A_DUC/back_up_before_deploy_NOTED/deploy_11AM_28_02_2021_NEWEST/decloset-be-deploy_20210202/application root@27.71.238.2:/home/</t>
  </si>
  <si>
    <t>duplicate foler with new name</t>
  </si>
  <si>
    <t>/Users/admin/0.Khoa_source_code/TC_project/CMS_NEW_A_DUC/back_up_before_deploy_NOTED/deploy_11AM_28_02_2021_NEWEST/decloset-be-deploy_20210202/application</t>
  </si>
  <si>
    <t>cp -r /templates/ECommerceRecommendation/ ./ClonedECommerceRecommendation</t>
  </si>
  <si>
    <t>https://www.hostinger.vn/huong-dan/chown-command/</t>
  </si>
  <si>
    <t xml:space="preserve"> scp -r   /home/khoa/Documents/IcoWorkCode/TC_project/backupcode/image_cms_20210218/images root@27.71.238.2:/home/decloset.2021/storage/app/public</t>
  </si>
  <si>
    <t xml:space="preserve"> scp -r  /home/khoa/Documents/IcoWorkCode/TC_project/backupcode/ico_dev_storage root@27.71.238.2:/home/decloset.2021/</t>
  </si>
  <si>
    <t>COPY REMOTE SERVER TO LOCAL</t>
  </si>
  <si>
    <t xml:space="preserve"> scp -r root@27.71.238.2:/home/decloset.vn /home/khoa/Documents/IcoWorkCode/TC_project/backupcode/cms_a_Quoi </t>
  </si>
  <si>
    <t xml:space="preserve"> scp -r root@103.153.72.193:/home/decloset-be/storage/  /home/khoa/Documents/IcoWorkCode/TC_project/backupcode/ico_dev_storage</t>
  </si>
  <si>
    <t xml:space="preserve"> scp -r root@27.71.238.2:/home/decloset-ai-recommend /Users/admin/0.Khoa_source_code/TC_project/AI/ai_reccomend_from_server</t>
  </si>
  <si>
    <t xml:space="preserve"> scp root@103.153.72.193:/home/database_backup/DB23022021_BAK.sql  /Users/admin/0.Khoa_source_code/TC_project/CMS_NEW_A_DUC/backupDB</t>
  </si>
  <si>
    <t>file size</t>
  </si>
  <si>
    <t>ls -l  --b=M database_customer_20210218.sql</t>
  </si>
  <si>
    <t xml:space="preserve"> scp -r root@103.153.72.193:/home/database_backup /Users/admin/0.Khoa_source_code/TC_project/CMS_NEW_A_DUC/BACK_UP_FROM_SERVER/DEV_15PM_27022021</t>
  </si>
  <si>
    <t xml:space="preserve">
SELECT  cp.product_id, cp.category_id, c.category_sub_group_id, csg.category_group_id 
FROM category_product cp
LEFT JOIN categories c 
ON cp.category_id  = c.id
LEFT JOIN category_sub_groups csg 
ON c.category_sub_group_id  = csg.id
LEFT JOIN category_groups cg 
ON csg.category_group_id  = cg.id</t>
  </si>
  <si>
    <t xml:space="preserve">server to ser </t>
  </si>
  <si>
    <t>LINUX CMD</t>
  </si>
  <si>
    <t>AI.4</t>
  </si>
  <si>
    <t>lw</t>
  </si>
  <si>
    <t xml:space="preserve"> scp -r root@103.153.72.193:/home/decloset-ai-recommend /home/</t>
  </si>
  <si>
    <t>du -shc /home/*</t>
  </si>
  <si>
    <t xml:space="preserve"> scp -r /Users/admin/0.Khoa_source_code/TC_project/AI/BACKUP_AI_IMAGE_27_02_2021 root@27.71.238.4:/home/decloset_ai </t>
  </si>
  <si>
    <t>Use ROOT authority</t>
  </si>
  <si>
    <t>https://www.cyberciti.biz/faq/become-superuser-on-ubuntu-linux/</t>
  </si>
  <si>
    <t>FASTAPI</t>
  </si>
  <si>
    <t>FLASK</t>
  </si>
  <si>
    <t>run</t>
  </si>
  <si>
    <t>uvicorn deploy.main:app --reload</t>
  </si>
  <si>
    <t>ref</t>
  </si>
  <si>
    <t>ref-docker</t>
  </si>
  <si>
    <t>https://runnable.com/docker/python/docker-compose-with-flask-apps</t>
  </si>
  <si>
    <t>https://realpython.com/dockerizing-flask-with-compose-and-machine-from-localhost-to-the-cloud/</t>
  </si>
  <si>
    <t>version, full</t>
  </si>
  <si>
    <t>https://python-gino.org/docs/en/1.0/tutorials/fastapi.html#notes-for-production</t>
  </si>
  <si>
    <t xml:space="preserve">poetry add 'gino[starlette]'  </t>
  </si>
  <si>
    <t>git add .</t>
  </si>
  <si>
    <t>git commit -m" any commit "</t>
  </si>
  <si>
    <t>git push</t>
  </si>
  <si>
    <t>git pull</t>
  </si>
  <si>
    <t>git status</t>
  </si>
  <si>
    <t>Clone with https NOT http</t>
  </si>
  <si>
    <t>git clone https://joseph-khoa@gitlab.com/icosoft/thanhcongcms.git</t>
  </si>
  <si>
    <t>Clone from a specific branch</t>
  </si>
  <si>
    <t>git clone -b source-server-dev https://joseph-khoa@gitlab.com/icosoft/thanhcongcms.git</t>
  </si>
  <si>
    <t>https://gitlab.com/gm28/decloset-be.git</t>
  </si>
  <si>
    <t xml:space="preserve">git config --list </t>
  </si>
  <si>
    <t>git config --list --local</t>
  </si>
  <si>
    <t>git config user.name "joseph-khoa"
git config user.email "phamdangkhoa.dev@gmail.com"</t>
  </si>
  <si>
    <t>remove config</t>
  </si>
  <si>
    <t>git config --global --unset user.name</t>
  </si>
  <si>
    <t>git config --global --unset user.email</t>
  </si>
  <si>
    <t xml:space="preserve">ubuntu </t>
  </si>
  <si>
    <t>docker exec -it c2febfc85224 /bin/bash</t>
  </si>
  <si>
    <t>python data/import_eventserver.py --access_key</t>
  </si>
  <si>
    <t>pio app list</t>
  </si>
  <si>
    <t>send_query.py</t>
  </si>
  <si>
    <t>engine_client = predictionio.EngineClient(url="http://localhost:8000")</t>
  </si>
  <si>
    <t>import_eventserver.py</t>
  </si>
  <si>
    <t>pio status</t>
  </si>
  <si>
    <t>pio build</t>
  </si>
  <si>
    <t>pio train</t>
  </si>
  <si>
    <t xml:space="preserve">pio app data-delete &lt;name&gt; </t>
  </si>
  <si>
    <t>pio deploy --port 8000</t>
  </si>
  <si>
    <t>pio deploy --port 8001</t>
  </si>
  <si>
    <t>pio build; pio train; pio deploy --port 8002</t>
  </si>
  <si>
    <t>Pio Apps</t>
  </si>
  <si>
    <t>python3 -m venv venv</t>
  </si>
  <si>
    <t>Khoa_temporary_storage/fromServer/thanhcongai/prediction/pio/templates</t>
  </si>
  <si>
    <t>nhánh BE</t>
  </si>
  <si>
    <t>git clone https://joseph-khoa@gitlab.com/gm28/decloset-be.git</t>
  </si>
  <si>
    <t>clone with https</t>
  </si>
  <si>
    <t>git clone  https://joseph-khoa@gitlab.com/gm28/decloset-ai.git</t>
  </si>
  <si>
    <t>cd ../</t>
  </si>
  <si>
    <t>git clone https://joseph-khoa@gitlab.com/gm28/decloset-ai-recommend.git</t>
  </si>
  <si>
    <t xml:space="preserve">user-name@git-clone-link </t>
  </si>
  <si>
    <t>git remote add origin https://joseph-khoa@gitlab.com/gm28/decloset-ai-recommend.git</t>
  </si>
  <si>
    <t>to a branch</t>
  </si>
  <si>
    <t>project</t>
  </si>
  <si>
    <t xml:space="preserve">shell python </t>
  </si>
  <si>
    <t>subprocesss.run().    #py3</t>
  </si>
  <si>
    <t>(python 2)</t>
  </si>
  <si>
    <t xml:space="preserve"> args = shlex.split(command_line)
 p = subprocess.Popen(args) # Success!</t>
  </si>
  <si>
    <t xml:space="preserve">dict to string </t>
  </si>
  <si>
    <t>str(a_dict) + ast, re = ast.literal_eval((str(result)))</t>
  </si>
  <si>
    <t>Flask</t>
  </si>
  <si>
    <t>p2, p3</t>
  </si>
  <si>
    <t>FastApi</t>
  </si>
  <si>
    <t>p3 only</t>
  </si>
  <si>
    <t xml:space="preserve">pyenv </t>
  </si>
  <si>
    <t>(all python version control, best-python2)</t>
  </si>
  <si>
    <t>$fee/h</t>
  </si>
  <si>
    <t>K</t>
  </si>
  <si>
    <t>$fee/session</t>
  </si>
  <si>
    <t>total (sessions)</t>
  </si>
  <si>
    <t>total ($)</t>
  </si>
  <si>
    <t>months</t>
  </si>
  <si>
    <t>a month</t>
  </si>
  <si>
    <t>a session</t>
  </si>
  <si>
    <t>Show Listening Ports</t>
  </si>
  <si>
    <t>https://linuxize.com/post/check-listening-ports-linux/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</si>
</sst>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\-dd\-yyyy\ h:mm"/>
  </numFmts>
  <fonts count="34">
    <font>
      <sz val="10.0"/>
      <color rgb="FF000000"/>
      <name val="Arial"/>
      <scheme val="minor"/>
    </font>
    <font>
      <sz val="12.0"/>
      <color rgb="FF000000"/>
      <name val="Arial"/>
    </font>
    <font>
      <u/>
      <sz val="12.0"/>
      <color rgb="FF1155CC"/>
      <name val="Cambria"/>
    </font>
    <font>
      <sz val="11.0"/>
      <color rgb="FF000000"/>
      <name val="Arial"/>
    </font>
    <font>
      <sz val="12.0"/>
      <color rgb="FF4D5156"/>
      <name val="Arial"/>
    </font>
    <font>
      <sz val="12.0"/>
      <color rgb="FF24292E"/>
      <name val="Sfmono-regular"/>
    </font>
    <font>
      <u/>
      <sz val="12.0"/>
      <color rgb="FF0000FF"/>
      <name val="Cambria"/>
    </font>
    <font>
      <sz val="11.0"/>
      <color rgb="FF444444"/>
      <name val="Arial"/>
    </font>
    <font>
      <sz val="11.0"/>
      <color rgb="FF333333"/>
      <name val="Open Sans"/>
    </font>
    <font>
      <sz val="14.0"/>
      <color rgb="FF333333"/>
      <name val="Open Sans"/>
    </font>
    <font>
      <u/>
      <sz val="11.0"/>
      <color rgb="FF1155CC"/>
      <name val="Cambria"/>
    </font>
    <font>
      <sz val="13.0"/>
      <color rgb="FF000000"/>
      <name val="Arial"/>
    </font>
    <font>
      <b/>
      <sz val="13.0"/>
      <color rgb="FF000000"/>
      <name val="Arial"/>
    </font>
    <font>
      <sz val="13.0"/>
      <color rgb="FF292929"/>
      <name val="Charter"/>
    </font>
    <font>
      <sz val="13.0"/>
      <color rgb="FF000000"/>
      <name val="Consolas"/>
    </font>
    <font>
      <sz val="13.0"/>
      <color rgb="FF292929"/>
      <name val="Arial"/>
    </font>
    <font>
      <b/>
      <sz val="12.0"/>
      <color rgb="FF000000"/>
      <name val="Arial"/>
    </font>
    <font>
      <sz val="11.0"/>
      <color rgb="FF000000"/>
      <name val="Inherit"/>
    </font>
    <font>
      <b/>
      <sz val="11.0"/>
      <color rgb="FFFF0000"/>
      <name val="Arial"/>
    </font>
    <font>
      <u/>
      <sz val="12.0"/>
      <color rgb="FF0000FF"/>
      <name val="Cambria"/>
    </font>
    <font>
      <sz val="11.0"/>
      <color rgb="FF545454"/>
      <name val="Consolas"/>
    </font>
    <font>
      <sz val="12.0"/>
      <color rgb="FF222222"/>
      <name val="Helvetica Neue"/>
    </font>
    <font>
      <sz val="12.0"/>
      <color rgb="FF000000"/>
      <name val="Consolas"/>
    </font>
    <font>
      <sz val="12.0"/>
      <color rgb="FF242729"/>
      <name val="Arial"/>
    </font>
    <font>
      <sz val="11.0"/>
      <color rgb="FF222222"/>
      <name val="Arial"/>
    </font>
    <font>
      <sz val="11.0"/>
      <color theme="1"/>
      <name val="Cambria"/>
    </font>
    <font>
      <u/>
      <sz val="11.0"/>
      <color rgb="FF000000"/>
      <name val="Arial"/>
    </font>
    <font>
      <u/>
      <sz val="11.0"/>
      <color rgb="FF0000FF"/>
      <name val="Cambria"/>
    </font>
    <font>
      <sz val="10.0"/>
      <color rgb="FF000000"/>
      <name val="Arial"/>
    </font>
    <font/>
    <font>
      <u/>
      <sz val="11.0"/>
      <color rgb="FF0000FF"/>
      <name val="Cambria"/>
    </font>
    <font>
      <u/>
      <sz val="11.0"/>
      <color rgb="FF1155CC"/>
      <name val="Cambria"/>
    </font>
    <font>
      <u/>
      <sz val="11.0"/>
      <color rgb="FF0000FF"/>
      <name val="Cambria"/>
    </font>
    <font>
      <u/>
      <sz val="12.0"/>
      <color rgb="FF1155CC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5F5F5"/>
        <bgColor rgb="FFF5F5F5"/>
      </patternFill>
    </fill>
    <fill>
      <patternFill patternType="solid">
        <fgColor rgb="FFB6D7A8"/>
        <bgColor rgb="FFB6D7A8"/>
      </patternFill>
    </fill>
    <fill>
      <patternFill patternType="solid">
        <fgColor rgb="FFFAFAFA"/>
        <bgColor rgb="FFFAFAFA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</fills>
  <borders count="6">
    <border/>
    <border>
      <left/>
      <right/>
      <top/>
      <bottom/>
    </border>
    <border>
      <left style="thin">
        <color rgb="FF000000"/>
      </left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left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1" fillId="2" fontId="1" numFmtId="0" xfId="0" applyAlignment="1" applyBorder="1" applyFont="1">
      <alignment horizontal="left" shrinkToFit="0" vertical="bottom" wrapText="0"/>
    </xf>
    <xf borderId="1" fillId="2" fontId="5" numFmtId="0" xfId="0" applyAlignment="1" applyBorder="1" applyFont="1">
      <alignment shrinkToFit="0" vertical="bottom" wrapText="0"/>
    </xf>
    <xf borderId="1" fillId="3" fontId="1" numFmtId="0" xfId="0" applyAlignment="1" applyBorder="1" applyFill="1" applyFont="1">
      <alignment shrinkToFit="0" vertical="bottom" wrapText="0"/>
    </xf>
    <xf borderId="1" fillId="4" fontId="1" numFmtId="0" xfId="0" applyAlignment="1" applyBorder="1" applyFill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5" fontId="1" numFmtId="0" xfId="0" applyAlignment="1" applyBorder="1" applyFill="1" applyFont="1">
      <alignment shrinkToFit="0" vertical="bottom" wrapText="0"/>
    </xf>
    <xf borderId="1" fillId="6" fontId="7" numFmtId="0" xfId="0" applyAlignment="1" applyBorder="1" applyFill="1" applyFont="1">
      <alignment horizontal="left" shrinkToFit="0" vertical="bottom" wrapText="0"/>
    </xf>
    <xf borderId="1" fillId="2" fontId="8" numFmtId="0" xfId="0" applyAlignment="1" applyBorder="1" applyFont="1">
      <alignment shrinkToFit="0" vertical="bottom" wrapText="0"/>
    </xf>
    <xf borderId="1" fillId="2" fontId="8" numFmtId="164" xfId="0" applyAlignment="1" applyBorder="1" applyFont="1" applyNumberFormat="1">
      <alignment shrinkToFit="0" vertical="bottom" wrapText="0"/>
    </xf>
    <xf borderId="1" fillId="2" fontId="9" numFmtId="0" xfId="0" applyAlignment="1" applyBorder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top" wrapText="0"/>
    </xf>
    <xf borderId="0" fillId="0" fontId="3" numFmtId="0" xfId="0" applyAlignment="1" applyFont="1">
      <alignment horizontal="left" shrinkToFit="0" vertical="top" wrapText="1"/>
    </xf>
    <xf borderId="1" fillId="7" fontId="3" numFmtId="0" xfId="0" applyAlignment="1" applyBorder="1" applyFill="1" applyFont="1">
      <alignment shrinkToFit="0" vertical="bottom" wrapText="0"/>
    </xf>
    <xf borderId="1" fillId="7" fontId="3" numFmtId="0" xfId="0" applyAlignment="1" applyBorder="1" applyFont="1">
      <alignment horizontal="left" shrinkToFit="0" vertical="top" wrapText="0"/>
    </xf>
    <xf borderId="1" fillId="2" fontId="3" numFmtId="0" xfId="0" applyAlignment="1" applyBorder="1" applyFont="1">
      <alignment horizontal="left" shrinkToFit="0" vertical="bottom" wrapText="0"/>
    </xf>
    <xf borderId="1" fillId="7" fontId="3" numFmtId="0" xfId="0" applyAlignment="1" applyBorder="1" applyFont="1">
      <alignment horizontal="left" shrinkToFit="0" vertical="bottom" wrapText="0"/>
    </xf>
    <xf borderId="0" fillId="0" fontId="3" numFmtId="0" xfId="0" applyAlignment="1" applyFont="1">
      <alignment shrinkToFit="0" vertical="bottom" wrapText="1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1" fillId="2" fontId="13" numFmtId="0" xfId="0" applyAlignment="1" applyBorder="1" applyFont="1">
      <alignment shrinkToFit="0" vertical="bottom" wrapText="0"/>
    </xf>
    <xf borderId="1" fillId="7" fontId="11" numFmtId="0" xfId="0" applyAlignment="1" applyBorder="1" applyFont="1">
      <alignment shrinkToFit="0" vertical="bottom" wrapText="0"/>
    </xf>
    <xf borderId="1" fillId="8" fontId="14" numFmtId="0" xfId="0" applyAlignment="1" applyBorder="1" applyFill="1" applyFont="1">
      <alignment horizontal="left" shrinkToFit="0" vertical="bottom" wrapText="1"/>
    </xf>
    <xf borderId="0" fillId="0" fontId="11" numFmtId="0" xfId="0" applyAlignment="1" applyFont="1">
      <alignment shrinkToFit="0" vertical="bottom" wrapText="1"/>
    </xf>
    <xf borderId="1" fillId="2" fontId="15" numFmtId="0" xfId="0" applyAlignment="1" applyBorder="1" applyFont="1">
      <alignment shrinkToFit="0" vertical="bottom" wrapText="0"/>
    </xf>
    <xf borderId="1" fillId="2" fontId="11" numFmtId="0" xfId="0" applyAlignment="1" applyBorder="1" applyFont="1">
      <alignment horizontal="left" shrinkToFit="0" vertical="bottom" wrapText="0"/>
    </xf>
    <xf borderId="0" fillId="0" fontId="1" numFmtId="0" xfId="0" applyAlignment="1" applyFont="1">
      <alignment shrinkToFit="0" vertical="top" wrapText="0"/>
    </xf>
    <xf borderId="0" fillId="0" fontId="16" numFmtId="0" xfId="0" applyAlignment="1" applyFont="1">
      <alignment shrinkToFit="0" vertical="top" wrapText="0"/>
    </xf>
    <xf borderId="0" fillId="0" fontId="1" numFmtId="0" xfId="0" applyAlignment="1" applyFont="1">
      <alignment shrinkToFit="0" vertical="top" wrapText="1"/>
    </xf>
    <xf borderId="0" fillId="0" fontId="17" numFmtId="0" xfId="0" applyAlignment="1" applyFont="1">
      <alignment horizontal="left" shrinkToFit="0" vertical="top" wrapText="0"/>
    </xf>
    <xf borderId="0" fillId="0" fontId="3" numFmtId="0" xfId="0" applyAlignment="1" applyFont="1">
      <alignment shrinkToFit="0" vertical="top" wrapText="0"/>
    </xf>
    <xf borderId="0" fillId="0" fontId="18" numFmtId="0" xfId="0" applyAlignment="1" applyFont="1">
      <alignment shrinkToFit="0" vertical="bottom" wrapText="0"/>
    </xf>
    <xf borderId="0" fillId="0" fontId="19" numFmtId="0" xfId="0" applyAlignment="1" applyFont="1">
      <alignment shrinkToFit="0" vertical="top" wrapText="0"/>
    </xf>
    <xf borderId="0" fillId="0" fontId="20" numFmtId="0" xfId="0" applyAlignment="1" applyFont="1">
      <alignment horizontal="left" shrinkToFit="0" vertical="top" wrapText="0"/>
    </xf>
    <xf borderId="1" fillId="2" fontId="21" numFmtId="0" xfId="0" applyAlignment="1" applyBorder="1" applyFont="1">
      <alignment shrinkToFit="0" vertical="bottom" wrapText="0"/>
    </xf>
    <xf borderId="0" fillId="0" fontId="22" numFmtId="0" xfId="0" applyAlignment="1" applyFont="1">
      <alignment shrinkToFit="0" vertical="bottom" wrapText="0"/>
    </xf>
    <xf borderId="1" fillId="2" fontId="23" numFmtId="0" xfId="0" applyAlignment="1" applyBorder="1" applyFont="1">
      <alignment horizontal="left" shrinkToFit="0" vertical="bottom" wrapText="0"/>
    </xf>
    <xf borderId="1" fillId="2" fontId="22" numFmtId="0" xfId="0" applyAlignment="1" applyBorder="1" applyFont="1">
      <alignment horizontal="left" shrinkToFit="0" vertical="bottom" wrapText="0"/>
    </xf>
    <xf borderId="1" fillId="2" fontId="24" numFmtId="0" xfId="0" applyAlignment="1" applyBorder="1" applyFont="1">
      <alignment shrinkToFit="0" vertical="bottom" wrapText="0"/>
    </xf>
    <xf borderId="0" fillId="0" fontId="25" numFmtId="0" xfId="0" applyAlignment="1" applyFont="1">
      <alignment shrinkToFit="0" vertical="bottom" wrapText="0"/>
    </xf>
    <xf borderId="0" fillId="0" fontId="26" numFmtId="0" xfId="0" applyAlignment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0" fillId="0" fontId="27" numFmtId="0" xfId="0" applyAlignment="1" applyFont="1">
      <alignment shrinkToFit="0" vertical="bottom" wrapText="0"/>
    </xf>
    <xf borderId="1" fillId="4" fontId="1" numFmtId="0" xfId="0" applyAlignment="1" applyBorder="1" applyFont="1">
      <alignment shrinkToFit="0" vertical="bottom" wrapText="1"/>
    </xf>
    <xf borderId="0" fillId="0" fontId="28" numFmtId="0" xfId="0" applyAlignment="1" applyFont="1">
      <alignment shrinkToFit="0" vertical="bottom" wrapText="0"/>
    </xf>
    <xf borderId="1" fillId="7" fontId="3" numFmtId="0" xfId="0" applyAlignment="1" applyBorder="1" applyFont="1">
      <alignment horizontal="center" shrinkToFit="0" vertical="bottom" wrapText="0"/>
    </xf>
    <xf borderId="3" fillId="7" fontId="3" numFmtId="0" xfId="0" applyAlignment="1" applyBorder="1" applyFont="1">
      <alignment horizontal="center" shrinkToFit="0" vertical="bottom" wrapText="0"/>
    </xf>
    <xf borderId="4" fillId="0" fontId="29" numFmtId="0" xfId="0" applyBorder="1" applyFont="1"/>
    <xf borderId="5" fillId="0" fontId="29" numFmtId="0" xfId="0" applyBorder="1" applyFont="1"/>
    <xf borderId="1" fillId="9" fontId="3" numFmtId="0" xfId="0" applyAlignment="1" applyBorder="1" applyFill="1" applyFont="1">
      <alignment shrinkToFit="0" vertical="bottom" wrapText="0"/>
    </xf>
    <xf borderId="1" fillId="10" fontId="3" numFmtId="0" xfId="0" applyAlignment="1" applyBorder="1" applyFill="1" applyFont="1">
      <alignment shrinkToFit="0" vertical="bottom" wrapText="0"/>
    </xf>
    <xf borderId="1" fillId="10" fontId="30" numFmtId="0" xfId="0" applyAlignment="1" applyBorder="1" applyFont="1">
      <alignment shrinkToFit="0" vertical="bottom" wrapText="0"/>
    </xf>
    <xf borderId="1" fillId="10" fontId="31" numFmtId="0" xfId="0" applyAlignment="1" applyBorder="1" applyFont="1">
      <alignment shrinkToFit="0" vertical="bottom" wrapText="0"/>
    </xf>
    <xf borderId="0" fillId="0" fontId="32" numFmtId="0" xfId="0" applyAlignment="1" applyFont="1">
      <alignment shrinkToFit="0" vertical="bottom" wrapText="1"/>
    </xf>
    <xf borderId="0" fillId="0" fontId="33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22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right" shrinkToFit="0" vertical="bottom" wrapText="0"/>
    </xf>
    <xf borderId="1" fillId="4" fontId="3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ensorflow.org/install/source" TargetMode="External"/><Relationship Id="rId2" Type="http://schemas.openxmlformats.org/officeDocument/2006/relationships/hyperlink" Target="https://github.com/pyenv/pyenv-virtualenv" TargetMode="External"/><Relationship Id="rId3" Type="http://schemas.openxmlformats.org/officeDocument/2006/relationships/hyperlink" Target="https://www.tensorflow.org/install/pip" TargetMode="External"/><Relationship Id="rId4" Type="http://schemas.openxmlformats.org/officeDocument/2006/relationships/hyperlink" Target="http://app.py/" TargetMode="External"/><Relationship Id="rId5" Type="http://schemas.openxmlformats.org/officeDocument/2006/relationships/hyperlink" Target="https://www.liquidweb.com/kb/how-to-install-pyenv-on-ubuntu-18-04/" TargetMode="External"/><Relationship Id="rId6" Type="http://schemas.openxmlformats.org/officeDocument/2006/relationships/hyperlink" Target="https://akrabat.com/creating-virtual-environments-with-pyenv/" TargetMode="External"/><Relationship Id="rId7" Type="http://schemas.openxmlformats.org/officeDocument/2006/relationships/hyperlink" Target="https://www.liquidweb.com/kb/how-to-install-pyenv-virtualenv-on-ubuntu-18-04/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containertutorials.com/" TargetMode="External"/><Relationship Id="rId2" Type="http://schemas.openxmlformats.org/officeDocument/2006/relationships/hyperlink" Target="https://docs.docker.com/engine/install/ubuntu/" TargetMode="External"/><Relationship Id="rId3" Type="http://schemas.openxmlformats.org/officeDocument/2006/relationships/hyperlink" Target="https://gist.github.com/hofmannsven/9164408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ist.github.com/hofmannsven/9164408" TargetMode="External"/><Relationship Id="rId2" Type="http://schemas.openxmlformats.org/officeDocument/2006/relationships/hyperlink" Target="https://www.digitalocean.com/community/questions/how-to-export-mysql-database-with-terminal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gist.github.com/Kartones/dd3ff5ec5ea238d4c546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phoenixnap.com/kb/how-to-delete-line-vim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phoenixnap.com/kb/how-to-vim-save-quit-exit" TargetMode="External"/><Relationship Id="rId2" Type="http://schemas.openxmlformats.org/officeDocument/2006/relationships/hyperlink" Target="https://www.simplified.guide/ssh/copy-file" TargetMode="External"/><Relationship Id="rId3" Type="http://schemas.openxmlformats.org/officeDocument/2006/relationships/hyperlink" Target="https://www.hostinger.vn/huong-dan/chown-command/" TargetMode="External"/><Relationship Id="rId4" Type="http://schemas.openxmlformats.org/officeDocument/2006/relationships/hyperlink" Target="https://www.cyberciti.biz/faq/become-superuser-on-ubuntu-linux/" TargetMode="External"/><Relationship Id="rId5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app.py/" TargetMode="External"/><Relationship Id="rId2" Type="http://schemas.openxmlformats.org/officeDocument/2006/relationships/hyperlink" Target="https://runnable.com/docker/python/docker-compose-with-flask-apps" TargetMode="External"/><Relationship Id="rId3" Type="http://schemas.openxmlformats.org/officeDocument/2006/relationships/hyperlink" Target="https://realpython.com/dockerizing-flask-with-compose-and-machine-from-localhost-to-the-cloud/" TargetMode="External"/><Relationship Id="rId4" Type="http://schemas.openxmlformats.org/officeDocument/2006/relationships/hyperlink" Target="https://python-gino.org/docs/en/1.0/tutorials/fastapi.html" TargetMode="External"/><Relationship Id="rId5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cg.id/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gitlab.com/gm28/decloset-be.git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://send_query.py/" TargetMode="External"/><Relationship Id="rId2" Type="http://schemas.openxmlformats.org/officeDocument/2006/relationships/hyperlink" Target="http://import_eventserver.py/" TargetMode="External"/><Relationship Id="rId3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gitlab.com/gm28/decloset-be.git" TargetMode="External"/><Relationship Id="rId2" Type="http://schemas.openxmlformats.org/officeDocument/2006/relationships/hyperlink" Target="https://gitlab.com/gm28/decloset-ai.git" TargetMode="External"/><Relationship Id="rId3" Type="http://schemas.openxmlformats.org/officeDocument/2006/relationships/hyperlink" Target="https://gitlab.com/gm28/decloset-ai-recommend.git" TargetMode="External"/><Relationship Id="rId4" Type="http://schemas.openxmlformats.org/officeDocument/2006/relationships/hyperlink" Target="https://github.com/career-karma-tutorials/ck-git" TargetMode="External"/><Relationship Id="rId5" Type="http://schemas.openxmlformats.org/officeDocument/2006/relationships/hyperlink" Target="https://github.com/career-karma-tutorials/ck-git" TargetMode="External"/><Relationship Id="rId6" Type="http://schemas.openxmlformats.org/officeDocument/2006/relationships/hyperlink" Target="https://gitlab.com/gm28/decloset-be.git" TargetMode="External"/><Relationship Id="rId7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linuxize.com/post/check-listening-ports-linux/" TargetMode="External"/><Relationship Id="rId2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0.13"/>
    <col customWidth="1" min="3" max="3" width="14.5"/>
    <col customWidth="1" min="4" max="4" width="31.13"/>
    <col customWidth="1" min="5" max="26" width="14.5"/>
  </cols>
  <sheetData>
    <row r="1" ht="15.75" customHeight="1">
      <c r="A1" s="1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 t="s">
        <v>2</v>
      </c>
      <c r="C2" s="3" t="s">
        <v>3</v>
      </c>
      <c r="D2" s="1"/>
      <c r="E2" s="1"/>
      <c r="F2" s="2" t="s">
        <v>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 t="s">
        <v>6</v>
      </c>
      <c r="C5" s="4" t="s">
        <v>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 t="s">
        <v>8</v>
      </c>
      <c r="C6" s="1" t="s">
        <v>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 t="s">
        <v>10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 t="s">
        <v>11</v>
      </c>
      <c r="D8" s="1"/>
      <c r="E8" s="5" t="s">
        <v>12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6" t="s">
        <v>13</v>
      </c>
      <c r="C9" s="1" t="s">
        <v>14</v>
      </c>
      <c r="D9" s="1"/>
      <c r="E9" s="5" t="s">
        <v>15</v>
      </c>
      <c r="F9" s="1"/>
      <c r="G9" s="1"/>
      <c r="H9" s="1" t="s">
        <v>16</v>
      </c>
      <c r="I9" s="1"/>
      <c r="J9" s="1"/>
      <c r="K9" s="1"/>
      <c r="L9" s="1" t="s">
        <v>17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 t="s">
        <v>18</v>
      </c>
      <c r="D10" s="1"/>
      <c r="E10" s="1"/>
      <c r="F10" s="1"/>
      <c r="G10" s="1"/>
      <c r="H10" s="1"/>
      <c r="I10" s="1"/>
      <c r="J10" s="1"/>
      <c r="K10" s="1"/>
      <c r="L10" s="1" t="s">
        <v>19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 t="s">
        <v>20</v>
      </c>
      <c r="D11" s="1"/>
      <c r="E11" s="1"/>
      <c r="F11" s="1"/>
      <c r="G11" s="1"/>
      <c r="H11" s="1"/>
      <c r="I11" s="1"/>
      <c r="J11" s="1"/>
      <c r="K11" s="1"/>
      <c r="L11" s="1" t="s">
        <v>21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 t="s">
        <v>22</v>
      </c>
      <c r="D12" s="1"/>
      <c r="E12" s="5" t="s">
        <v>23</v>
      </c>
      <c r="F12" s="7" t="s">
        <v>24</v>
      </c>
      <c r="G12" s="1"/>
      <c r="H12" s="1"/>
      <c r="I12" s="1"/>
      <c r="J12" s="1"/>
      <c r="K12" s="1"/>
      <c r="L12" s="6" t="s">
        <v>25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 t="s">
        <v>26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6" t="s">
        <v>27</v>
      </c>
      <c r="K14" s="1"/>
      <c r="L14" s="1"/>
      <c r="M14" s="7" t="s">
        <v>28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 t="s">
        <v>29</v>
      </c>
      <c r="D15" s="1"/>
      <c r="E15" s="1" t="s">
        <v>30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8" t="s">
        <v>31</v>
      </c>
      <c r="D16" s="1"/>
      <c r="E16" s="1"/>
      <c r="F16" s="1" t="s">
        <v>32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9" t="s">
        <v>33</v>
      </c>
      <c r="D17" s="3" t="s">
        <v>34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1"/>
      <c r="B20" s="1" t="s">
        <v>35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2" t="s">
        <v>36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 t="s">
        <v>37</v>
      </c>
      <c r="C25" s="1" t="s">
        <v>38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 t="s">
        <v>39</v>
      </c>
      <c r="C26" s="1" t="s">
        <v>28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>
        <v>2.7</v>
      </c>
      <c r="B31" s="1" t="s">
        <v>40</v>
      </c>
      <c r="C31" s="1"/>
      <c r="D31" s="11" t="s">
        <v>41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>
        <v>3.6</v>
      </c>
      <c r="B33" s="1" t="s">
        <v>42</v>
      </c>
      <c r="C33" s="1"/>
      <c r="D33" s="1" t="s">
        <v>43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2" t="s">
        <v>44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3" t="s">
        <v>45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2" t="s">
        <v>46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 t="s">
        <v>47</v>
      </c>
      <c r="C39" s="2" t="s">
        <v>48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2" t="s">
        <v>49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1"/>
    <hyperlink r:id="rId2" ref="F2"/>
    <hyperlink r:id="rId3" location="1.-install-the-python-development-environment-on-your-system" ref="C21"/>
    <hyperlink r:id="rId4" ref="D31"/>
    <hyperlink r:id="rId5" ref="C38"/>
    <hyperlink r:id="rId6" ref="C39"/>
    <hyperlink r:id="rId7" ref="C40"/>
  </hyperlinks>
  <printOptions/>
  <pageMargins bottom="0.984027777777778" footer="0.0" header="0.0" left="0.747916666666667" right="0.747916666666667" top="0.984027777777778"/>
  <pageSetup paperSize="9" orientation="portrait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4.5"/>
  </cols>
  <sheetData>
    <row r="1" ht="15.75" customHeight="1"/>
    <row r="2" ht="15.75" customHeight="1"/>
    <row r="3" ht="15.75" customHeight="1">
      <c r="L3" s="3" t="s">
        <v>50</v>
      </c>
    </row>
    <row r="4" ht="15.75" customHeight="1"/>
    <row r="5" ht="15.75" customHeight="1">
      <c r="K5" s="14" t="s">
        <v>51</v>
      </c>
      <c r="L5" s="15">
        <v>44205.0111111111</v>
      </c>
      <c r="M5" s="14" t="s">
        <v>52</v>
      </c>
      <c r="N5" s="14" t="s">
        <v>53</v>
      </c>
      <c r="Q5" s="14">
        <v>96.5</v>
      </c>
      <c r="R5" s="14">
        <v>1141615.0</v>
      </c>
      <c r="S5" s="14">
        <v>1141711.5</v>
      </c>
      <c r="U5" s="3">
        <f t="shared" ref="U5:U13" si="1">S5-R5</f>
        <v>96.5</v>
      </c>
    </row>
    <row r="6" ht="15.75" customHeight="1">
      <c r="K6" s="14"/>
      <c r="L6" s="14"/>
      <c r="M6" s="14" t="s">
        <v>54</v>
      </c>
      <c r="N6" s="14" t="s">
        <v>55</v>
      </c>
      <c r="O6" s="14" t="s">
        <v>56</v>
      </c>
      <c r="P6" s="14" t="s">
        <v>52</v>
      </c>
      <c r="Q6" s="14">
        <v>0.8</v>
      </c>
      <c r="R6" s="14">
        <v>1141615.0</v>
      </c>
      <c r="S6" s="14">
        <v>1141615.8</v>
      </c>
      <c r="T6" s="14"/>
      <c r="U6" s="3">
        <f t="shared" si="1"/>
        <v>0.8</v>
      </c>
    </row>
    <row r="7" ht="15.75" customHeight="1">
      <c r="A7" s="14"/>
      <c r="B7" s="14"/>
      <c r="C7" s="14"/>
      <c r="D7" s="14"/>
      <c r="H7" s="15"/>
      <c r="I7" s="15"/>
      <c r="J7" s="14"/>
      <c r="K7" s="14"/>
      <c r="L7" s="14"/>
      <c r="M7" s="14" t="s">
        <v>57</v>
      </c>
      <c r="N7" s="14" t="s">
        <v>58</v>
      </c>
      <c r="O7" s="14" t="s">
        <v>56</v>
      </c>
      <c r="P7" s="14" t="s">
        <v>56</v>
      </c>
      <c r="Q7" s="14">
        <v>0.2</v>
      </c>
      <c r="R7" s="14">
        <v>1141615.0</v>
      </c>
      <c r="S7" s="14">
        <v>1141615.2</v>
      </c>
      <c r="T7" s="14"/>
      <c r="U7" s="3">
        <f t="shared" si="1"/>
        <v>0.2</v>
      </c>
    </row>
    <row r="8" ht="15.75" customHeight="1">
      <c r="A8" s="14"/>
      <c r="B8" s="14"/>
      <c r="C8" s="15"/>
      <c r="D8" s="15"/>
      <c r="E8" s="14"/>
      <c r="F8" s="14"/>
      <c r="G8" s="14"/>
      <c r="H8" s="14"/>
      <c r="I8" s="14"/>
      <c r="J8" s="15"/>
      <c r="K8" s="15"/>
      <c r="L8" s="14"/>
      <c r="M8" s="14" t="s">
        <v>59</v>
      </c>
      <c r="N8" s="14" t="s">
        <v>57</v>
      </c>
      <c r="O8" s="14" t="s">
        <v>60</v>
      </c>
      <c r="P8" s="14" t="s">
        <v>56</v>
      </c>
      <c r="Q8" s="14">
        <v>132.5</v>
      </c>
      <c r="R8" s="14">
        <v>1141483.0</v>
      </c>
      <c r="S8" s="14">
        <v>1141615.5</v>
      </c>
      <c r="T8" s="14"/>
      <c r="U8" s="3">
        <f t="shared" si="1"/>
        <v>132.5</v>
      </c>
    </row>
    <row r="9" ht="15.75" customHeight="1">
      <c r="A9" s="14"/>
      <c r="B9" s="14"/>
      <c r="C9" s="15"/>
      <c r="D9" s="15"/>
      <c r="E9" s="14"/>
      <c r="F9" s="14"/>
      <c r="G9" s="14"/>
      <c r="H9" s="14"/>
      <c r="I9" s="14"/>
      <c r="J9" s="15"/>
      <c r="K9" s="15"/>
      <c r="L9" s="14"/>
      <c r="M9" s="14" t="s">
        <v>61</v>
      </c>
      <c r="N9" s="14" t="s">
        <v>62</v>
      </c>
      <c r="O9" s="14" t="s">
        <v>63</v>
      </c>
      <c r="P9" s="14" t="s">
        <v>60</v>
      </c>
      <c r="Q9" s="14">
        <v>99.3</v>
      </c>
      <c r="R9" s="14">
        <v>1141384.0</v>
      </c>
      <c r="S9" s="14">
        <v>1141483.3</v>
      </c>
      <c r="T9" s="14"/>
      <c r="U9" s="3">
        <f t="shared" si="1"/>
        <v>99.3</v>
      </c>
    </row>
    <row r="10" ht="15.75" customHeight="1">
      <c r="A10" s="14"/>
      <c r="B10" s="14"/>
      <c r="C10" s="15"/>
      <c r="D10" s="15"/>
      <c r="E10" s="14"/>
      <c r="F10" s="14"/>
      <c r="G10" s="14"/>
      <c r="H10" s="14"/>
      <c r="I10" s="14"/>
      <c r="J10" s="15"/>
      <c r="K10" s="15"/>
      <c r="L10" s="14"/>
      <c r="M10" s="14" t="s">
        <v>64</v>
      </c>
      <c r="N10" s="14" t="s">
        <v>65</v>
      </c>
      <c r="O10" s="14" t="s">
        <v>66</v>
      </c>
      <c r="P10" s="14" t="s">
        <v>63</v>
      </c>
      <c r="Q10" s="14">
        <v>67.7</v>
      </c>
      <c r="R10" s="14">
        <v>1141317.0</v>
      </c>
      <c r="S10" s="14">
        <v>1141384.7</v>
      </c>
      <c r="T10" s="14"/>
      <c r="U10" s="3">
        <f t="shared" si="1"/>
        <v>67.7</v>
      </c>
    </row>
    <row r="11" ht="15.75" customHeight="1">
      <c r="K11" s="14"/>
      <c r="L11" s="14"/>
      <c r="M11" s="14" t="s">
        <v>67</v>
      </c>
      <c r="N11" s="14" t="s">
        <v>68</v>
      </c>
      <c r="O11" s="14" t="s">
        <v>69</v>
      </c>
      <c r="P11" s="14" t="s">
        <v>66</v>
      </c>
      <c r="Q11" s="14">
        <v>204.3</v>
      </c>
      <c r="R11" s="14">
        <v>1141113.0</v>
      </c>
      <c r="S11" s="14">
        <v>1141317.3</v>
      </c>
      <c r="T11" s="14"/>
      <c r="U11" s="3">
        <f t="shared" si="1"/>
        <v>204.3</v>
      </c>
    </row>
    <row r="12" ht="15.75" customHeight="1">
      <c r="K12" s="14"/>
      <c r="L12" s="14"/>
      <c r="M12" s="14" t="s">
        <v>70</v>
      </c>
      <c r="N12" s="14" t="s">
        <v>71</v>
      </c>
      <c r="O12" s="14" t="s">
        <v>72</v>
      </c>
      <c r="P12" s="14" t="s">
        <v>69</v>
      </c>
      <c r="Q12" s="14">
        <v>8.2</v>
      </c>
      <c r="R12" s="14">
        <v>1141105.0</v>
      </c>
      <c r="S12" s="14">
        <v>1141113.2</v>
      </c>
      <c r="T12" s="14"/>
      <c r="U12" s="3">
        <f t="shared" si="1"/>
        <v>8.2</v>
      </c>
    </row>
    <row r="13" ht="15.75" customHeight="1">
      <c r="K13" s="14"/>
      <c r="L13" s="14"/>
      <c r="M13" s="14" t="s">
        <v>73</v>
      </c>
      <c r="N13" s="14" t="s">
        <v>74</v>
      </c>
      <c r="O13" s="14" t="s">
        <v>53</v>
      </c>
      <c r="P13" s="14" t="s">
        <v>72</v>
      </c>
      <c r="Q13" s="14">
        <v>22.0</v>
      </c>
      <c r="R13" s="14">
        <v>1141083.0</v>
      </c>
      <c r="S13" s="14">
        <v>1141105.0</v>
      </c>
      <c r="U13" s="3">
        <f t="shared" si="1"/>
        <v>22</v>
      </c>
    </row>
    <row r="14" ht="15.75" customHeight="1">
      <c r="A14" s="14" t="s">
        <v>75</v>
      </c>
      <c r="B14" s="14" t="s">
        <v>76</v>
      </c>
      <c r="C14" s="14" t="s">
        <v>77</v>
      </c>
      <c r="D14" s="14" t="s">
        <v>53</v>
      </c>
      <c r="G14" s="14">
        <v>236.2</v>
      </c>
      <c r="H14" s="14">
        <v>1140847.0</v>
      </c>
      <c r="I14" s="14">
        <v>1141083.0</v>
      </c>
      <c r="K14" s="3">
        <f t="shared" ref="K14:K20" si="2">I14-H14</f>
        <v>236</v>
      </c>
    </row>
    <row r="15" ht="15.75" customHeight="1">
      <c r="A15" s="14"/>
      <c r="B15" s="14"/>
      <c r="C15" s="14" t="s">
        <v>78</v>
      </c>
      <c r="D15" s="14" t="s">
        <v>79</v>
      </c>
      <c r="E15" s="14" t="s">
        <v>63</v>
      </c>
      <c r="F15" s="14" t="s">
        <v>77</v>
      </c>
      <c r="G15" s="14">
        <v>22.4</v>
      </c>
      <c r="H15" s="14">
        <v>1140825.0</v>
      </c>
      <c r="I15" s="14">
        <v>1140847.0</v>
      </c>
      <c r="J15" s="14"/>
      <c r="K15" s="3">
        <f t="shared" si="2"/>
        <v>22</v>
      </c>
    </row>
    <row r="16" ht="15.75" customHeight="1">
      <c r="A16" s="14"/>
      <c r="B16" s="14"/>
      <c r="C16" s="14" t="s">
        <v>80</v>
      </c>
      <c r="D16" s="14" t="s">
        <v>81</v>
      </c>
      <c r="E16" s="14" t="s">
        <v>82</v>
      </c>
      <c r="F16" s="14" t="s">
        <v>63</v>
      </c>
      <c r="G16" s="14">
        <v>0.3</v>
      </c>
      <c r="H16" s="14">
        <v>1140825.0</v>
      </c>
      <c r="I16" s="14">
        <v>1140825.0</v>
      </c>
      <c r="J16" s="14"/>
      <c r="K16" s="3">
        <f t="shared" si="2"/>
        <v>0</v>
      </c>
    </row>
    <row r="17" ht="15.75" customHeight="1">
      <c r="A17" s="14"/>
      <c r="B17" s="14"/>
      <c r="C17" s="14" t="s">
        <v>83</v>
      </c>
      <c r="D17" s="14" t="s">
        <v>84</v>
      </c>
      <c r="E17" s="14" t="s">
        <v>85</v>
      </c>
      <c r="F17" s="14" t="s">
        <v>82</v>
      </c>
      <c r="G17" s="14">
        <v>119.4</v>
      </c>
      <c r="H17" s="14">
        <v>1140706.0</v>
      </c>
      <c r="I17" s="14">
        <v>1140825.0</v>
      </c>
      <c r="J17" s="14"/>
      <c r="K17" s="3">
        <f t="shared" si="2"/>
        <v>119</v>
      </c>
    </row>
    <row r="18" ht="15.75" customHeight="1">
      <c r="A18" s="14"/>
      <c r="B18" s="14"/>
      <c r="C18" s="14" t="s">
        <v>86</v>
      </c>
      <c r="D18" s="14" t="s">
        <v>87</v>
      </c>
      <c r="E18" s="14" t="s">
        <v>88</v>
      </c>
      <c r="F18" s="14" t="s">
        <v>85</v>
      </c>
      <c r="G18" s="14">
        <v>165.8</v>
      </c>
      <c r="H18" s="14">
        <v>1140541.0</v>
      </c>
      <c r="I18" s="14">
        <v>1140706.0</v>
      </c>
      <c r="J18" s="14"/>
      <c r="K18" s="3">
        <f t="shared" si="2"/>
        <v>165</v>
      </c>
    </row>
    <row r="19" ht="15.75" customHeight="1">
      <c r="A19" s="14"/>
      <c r="B19" s="14"/>
      <c r="C19" s="14" t="s">
        <v>89</v>
      </c>
      <c r="D19" s="14" t="s">
        <v>90</v>
      </c>
      <c r="E19" s="14" t="s">
        <v>53</v>
      </c>
      <c r="F19" s="14" t="s">
        <v>88</v>
      </c>
      <c r="G19" s="14">
        <v>48.7</v>
      </c>
      <c r="H19" s="14">
        <v>1140493.0</v>
      </c>
      <c r="I19" s="14">
        <v>1140541.0</v>
      </c>
      <c r="K19" s="3">
        <f t="shared" si="2"/>
        <v>48</v>
      </c>
    </row>
    <row r="20" ht="15.75" customHeight="1">
      <c r="K20" s="3">
        <f t="shared" si="2"/>
        <v>0</v>
      </c>
    </row>
    <row r="21" ht="15.75" customHeight="1">
      <c r="G21" s="16">
        <v>8.68441039157984E14</v>
      </c>
      <c r="I21" s="16" t="s">
        <v>91</v>
      </c>
    </row>
    <row r="22" ht="15.75" customHeight="1">
      <c r="I22" s="16"/>
    </row>
    <row r="23" ht="15.75" customHeight="1">
      <c r="A23" s="14" t="s">
        <v>92</v>
      </c>
      <c r="B23" s="14" t="s">
        <v>93</v>
      </c>
      <c r="C23" s="14" t="s">
        <v>69</v>
      </c>
      <c r="D23" s="14" t="s">
        <v>53</v>
      </c>
      <c r="G23" s="14">
        <v>28.9</v>
      </c>
      <c r="H23" s="14">
        <v>1140465.0</v>
      </c>
      <c r="I23" s="14">
        <v>1140493.0</v>
      </c>
      <c r="K23" s="3">
        <f t="shared" ref="K23:K32" si="3">I23-H23</f>
        <v>28</v>
      </c>
    </row>
    <row r="24" ht="15.75" customHeight="1">
      <c r="A24" s="14"/>
      <c r="B24" s="14"/>
      <c r="C24" s="14" t="s">
        <v>94</v>
      </c>
      <c r="D24" s="14" t="s">
        <v>95</v>
      </c>
      <c r="E24" s="14" t="s">
        <v>96</v>
      </c>
      <c r="F24" s="14" t="s">
        <v>69</v>
      </c>
      <c r="G24" s="14">
        <v>99580.7</v>
      </c>
      <c r="H24" s="14">
        <v>1040885.0</v>
      </c>
      <c r="I24" s="14">
        <v>1140465.0</v>
      </c>
      <c r="J24" s="14"/>
      <c r="K24" s="3">
        <f t="shared" si="3"/>
        <v>99580</v>
      </c>
    </row>
    <row r="25" ht="15.75" customHeight="1">
      <c r="A25" s="14"/>
      <c r="B25" s="14"/>
      <c r="C25" s="14" t="s">
        <v>97</v>
      </c>
      <c r="D25" s="14" t="s">
        <v>98</v>
      </c>
      <c r="E25" s="14" t="s">
        <v>99</v>
      </c>
      <c r="F25" s="14" t="s">
        <v>96</v>
      </c>
      <c r="G25" s="14">
        <v>3.3</v>
      </c>
      <c r="H25" s="14">
        <v>1040882.0</v>
      </c>
      <c r="I25" s="14">
        <v>1040885.0</v>
      </c>
      <c r="J25" s="14"/>
      <c r="K25" s="3">
        <f t="shared" si="3"/>
        <v>3</v>
      </c>
    </row>
    <row r="26" ht="15.75" customHeight="1">
      <c r="A26" s="14"/>
      <c r="B26" s="14"/>
      <c r="C26" s="14" t="s">
        <v>100</v>
      </c>
      <c r="D26" s="14" t="s">
        <v>101</v>
      </c>
      <c r="E26" s="14" t="s">
        <v>69</v>
      </c>
      <c r="F26" s="14" t="s">
        <v>99</v>
      </c>
      <c r="G26" s="14">
        <v>56.2</v>
      </c>
      <c r="H26" s="14">
        <v>1040826.0</v>
      </c>
      <c r="I26" s="14">
        <v>1040882.0</v>
      </c>
      <c r="J26" s="14"/>
      <c r="K26" s="3">
        <f t="shared" si="3"/>
        <v>56</v>
      </c>
    </row>
    <row r="27" ht="15.75" customHeight="1">
      <c r="A27" s="14"/>
      <c r="B27" s="14"/>
      <c r="C27" s="14" t="s">
        <v>102</v>
      </c>
      <c r="D27" s="14" t="s">
        <v>103</v>
      </c>
      <c r="E27" s="14" t="s">
        <v>104</v>
      </c>
      <c r="F27" s="14" t="s">
        <v>69</v>
      </c>
      <c r="G27" s="14">
        <v>99452.6</v>
      </c>
      <c r="H27" s="14">
        <v>941374.0</v>
      </c>
      <c r="I27" s="14">
        <v>1040826.0</v>
      </c>
      <c r="J27" s="14"/>
      <c r="K27" s="3">
        <f t="shared" si="3"/>
        <v>99452</v>
      </c>
    </row>
    <row r="28" ht="15.75" customHeight="1">
      <c r="A28" s="14"/>
      <c r="B28" s="14"/>
      <c r="C28" s="14" t="s">
        <v>105</v>
      </c>
      <c r="D28" s="14" t="s">
        <v>106</v>
      </c>
      <c r="E28" s="14" t="s">
        <v>107</v>
      </c>
      <c r="F28" s="14" t="s">
        <v>104</v>
      </c>
      <c r="G28" s="14">
        <v>33.1</v>
      </c>
      <c r="H28" s="14">
        <v>941341.0</v>
      </c>
      <c r="I28" s="14">
        <v>941374.0</v>
      </c>
      <c r="J28" s="14"/>
      <c r="K28" s="3">
        <f t="shared" si="3"/>
        <v>33</v>
      </c>
    </row>
    <row r="29" ht="15.75" customHeight="1">
      <c r="A29" s="14"/>
      <c r="B29" s="14"/>
      <c r="C29" s="14" t="s">
        <v>108</v>
      </c>
      <c r="D29" s="14" t="s">
        <v>109</v>
      </c>
      <c r="E29" s="14" t="s">
        <v>110</v>
      </c>
      <c r="F29" s="14" t="s">
        <v>111</v>
      </c>
      <c r="G29" s="14">
        <v>0.1</v>
      </c>
      <c r="H29" s="14">
        <v>941341.0</v>
      </c>
      <c r="I29" s="14">
        <v>941341.0</v>
      </c>
      <c r="J29" s="14"/>
      <c r="K29" s="3">
        <f t="shared" si="3"/>
        <v>0</v>
      </c>
    </row>
    <row r="30" ht="15.75" customHeight="1">
      <c r="A30" s="14"/>
      <c r="B30" s="14"/>
      <c r="C30" s="14" t="s">
        <v>112</v>
      </c>
      <c r="D30" s="14" t="s">
        <v>113</v>
      </c>
      <c r="E30" s="14" t="s">
        <v>114</v>
      </c>
      <c r="F30" s="14" t="s">
        <v>115</v>
      </c>
      <c r="G30" s="14">
        <v>2.0</v>
      </c>
      <c r="H30" s="14">
        <v>941339.0</v>
      </c>
      <c r="I30" s="14">
        <v>941341.0</v>
      </c>
      <c r="J30" s="14"/>
      <c r="K30" s="3">
        <f t="shared" si="3"/>
        <v>2</v>
      </c>
    </row>
    <row r="31" ht="15.75" customHeight="1">
      <c r="A31" s="14"/>
      <c r="B31" s="14"/>
      <c r="C31" s="14" t="s">
        <v>116</v>
      </c>
      <c r="D31" s="14" t="s">
        <v>117</v>
      </c>
      <c r="E31" s="14" t="s">
        <v>104</v>
      </c>
      <c r="F31" s="14" t="s">
        <v>114</v>
      </c>
      <c r="G31" s="14">
        <v>22.2</v>
      </c>
      <c r="H31" s="14">
        <v>941317.0</v>
      </c>
      <c r="I31" s="14">
        <v>941339.0</v>
      </c>
      <c r="J31" s="14"/>
      <c r="K31" s="3">
        <f t="shared" si="3"/>
        <v>22</v>
      </c>
    </row>
    <row r="32" ht="15.75" customHeight="1">
      <c r="A32" s="14"/>
      <c r="B32" s="14"/>
      <c r="C32" s="14" t="s">
        <v>118</v>
      </c>
      <c r="D32" s="14" t="s">
        <v>119</v>
      </c>
      <c r="E32" s="14" t="s">
        <v>53</v>
      </c>
      <c r="F32" s="14" t="s">
        <v>104</v>
      </c>
      <c r="G32" s="14">
        <v>19.4</v>
      </c>
      <c r="H32" s="14">
        <v>941298.0</v>
      </c>
      <c r="I32" s="14">
        <v>941317.0</v>
      </c>
      <c r="K32" s="3">
        <f t="shared" si="3"/>
        <v>19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>
      <c r="J41" s="3" t="s">
        <v>120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9" width="14.5"/>
  </cols>
  <sheetData>
    <row r="1" ht="15.75" customHeight="1">
      <c r="B1" s="3" t="s">
        <v>121</v>
      </c>
      <c r="C1" s="17" t="s">
        <v>122</v>
      </c>
      <c r="G1" s="3" t="s">
        <v>123</v>
      </c>
      <c r="H1" s="3" t="s">
        <v>124</v>
      </c>
      <c r="I1" s="17" t="s">
        <v>125</v>
      </c>
    </row>
    <row r="2" ht="15.75" customHeight="1"/>
    <row r="3" ht="15.75" customHeight="1">
      <c r="E3" s="3" t="s">
        <v>126</v>
      </c>
    </row>
    <row r="4" ht="15.75" customHeight="1">
      <c r="B4" s="3" t="s">
        <v>127</v>
      </c>
    </row>
    <row r="5" ht="15.75" customHeight="1">
      <c r="B5" s="3" t="s">
        <v>128</v>
      </c>
      <c r="F5" s="18"/>
      <c r="G5" s="18"/>
      <c r="H5" s="18"/>
    </row>
    <row r="6" ht="15.75" customHeight="1">
      <c r="F6" s="18"/>
      <c r="G6" s="18"/>
      <c r="H6" s="18"/>
    </row>
    <row r="7" ht="15.75" customHeight="1">
      <c r="F7" s="18"/>
      <c r="G7" s="18"/>
      <c r="H7" s="18"/>
    </row>
    <row r="8" ht="15.75" customHeight="1">
      <c r="B8" s="3" t="s">
        <v>129</v>
      </c>
      <c r="F8" s="19" t="s">
        <v>130</v>
      </c>
      <c r="G8" s="18"/>
      <c r="H8" s="18"/>
    </row>
    <row r="9" ht="15.75" customHeight="1">
      <c r="B9" s="3" t="s">
        <v>131</v>
      </c>
      <c r="F9" s="18"/>
      <c r="G9" s="18"/>
      <c r="H9" s="18"/>
    </row>
    <row r="10" ht="15.75" customHeight="1">
      <c r="A10" s="20" t="s">
        <v>132</v>
      </c>
      <c r="B10" s="20" t="s">
        <v>133</v>
      </c>
      <c r="C10" s="20"/>
      <c r="D10" s="20"/>
      <c r="E10" s="20"/>
      <c r="F10" s="21"/>
      <c r="G10" s="21"/>
      <c r="H10" s="21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ht="15.75" customHeight="1">
      <c r="A11" s="20"/>
      <c r="B11" s="20" t="s">
        <v>134</v>
      </c>
      <c r="C11" s="20"/>
      <c r="D11" s="20"/>
      <c r="E11" s="20"/>
      <c r="F11" s="21"/>
      <c r="G11" s="21"/>
      <c r="H11" s="21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ht="15.75" customHeight="1">
      <c r="A12" s="20"/>
      <c r="B12" s="20"/>
      <c r="C12" s="20"/>
      <c r="D12" s="20"/>
      <c r="E12" s="20"/>
      <c r="F12" s="21"/>
      <c r="G12" s="21"/>
      <c r="H12" s="21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ht="15.75" customHeight="1">
      <c r="A13" s="20"/>
      <c r="B13" s="20" t="s">
        <v>135</v>
      </c>
      <c r="C13" s="20"/>
      <c r="D13" s="20"/>
      <c r="E13" s="20"/>
      <c r="F13" s="22" t="s">
        <v>131</v>
      </c>
      <c r="G13" s="21"/>
      <c r="H13" s="21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</row>
    <row r="14" ht="15.75" customHeight="1">
      <c r="A14" s="20"/>
      <c r="B14" s="20" t="s">
        <v>136</v>
      </c>
      <c r="C14" s="20"/>
      <c r="D14" s="20"/>
      <c r="E14" s="20"/>
      <c r="F14" s="21" t="s">
        <v>129</v>
      </c>
      <c r="G14" s="21"/>
      <c r="H14" s="21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</row>
    <row r="15" ht="15.75" customHeight="1">
      <c r="A15" s="20"/>
      <c r="B15" s="20" t="s">
        <v>137</v>
      </c>
      <c r="C15" s="20"/>
      <c r="D15" s="20"/>
      <c r="E15" s="20"/>
      <c r="F15" s="23" t="s">
        <v>135</v>
      </c>
      <c r="G15" s="21"/>
      <c r="H15" s="21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6" ht="15.75" customHeight="1">
      <c r="F16" s="18"/>
      <c r="G16" s="18"/>
      <c r="H16" s="18"/>
    </row>
    <row r="17" ht="15.75" customHeight="1">
      <c r="A17" s="3" t="s">
        <v>138</v>
      </c>
      <c r="B17" s="3" t="s">
        <v>139</v>
      </c>
      <c r="F17" s="18"/>
      <c r="G17" s="18"/>
      <c r="H17" s="18"/>
    </row>
    <row r="18" ht="15.75" customHeight="1">
      <c r="B18" s="3" t="s">
        <v>140</v>
      </c>
      <c r="F18" s="18"/>
      <c r="G18" s="18"/>
      <c r="H18" s="19" t="s">
        <v>141</v>
      </c>
    </row>
    <row r="19" ht="15.75" customHeight="1">
      <c r="F19" s="18"/>
      <c r="G19" s="18"/>
      <c r="H19" s="18"/>
    </row>
    <row r="20" ht="15.75" customHeight="1">
      <c r="F20" s="18"/>
      <c r="G20" s="18"/>
      <c r="H20" s="18"/>
    </row>
    <row r="21" ht="15.75" customHeight="1">
      <c r="E21" s="3" t="s">
        <v>142</v>
      </c>
      <c r="F21" s="18"/>
      <c r="G21" s="18"/>
      <c r="H21" s="18"/>
    </row>
    <row r="22" ht="15.75" customHeight="1">
      <c r="F22" s="18"/>
      <c r="G22" s="18"/>
      <c r="H22" s="18"/>
    </row>
    <row r="23" ht="15.75" customHeight="1">
      <c r="B23" s="3" t="s">
        <v>143</v>
      </c>
    </row>
    <row r="24" ht="15.75" customHeight="1">
      <c r="B24" s="17" t="s">
        <v>144</v>
      </c>
    </row>
    <row r="25" ht="15.75" customHeight="1"/>
    <row r="26" ht="15.75" customHeight="1"/>
    <row r="27" ht="15.75" customHeight="1">
      <c r="B27" s="24" t="s">
        <v>145</v>
      </c>
    </row>
    <row r="28" ht="15.75" customHeight="1">
      <c r="A28" s="3" t="s">
        <v>146</v>
      </c>
      <c r="B28" s="3" t="s">
        <v>147</v>
      </c>
      <c r="E28" s="3"/>
    </row>
    <row r="29" ht="15.75" customHeight="1">
      <c r="A29" s="3" t="s">
        <v>148</v>
      </c>
      <c r="B29" s="3" t="s">
        <v>149</v>
      </c>
    </row>
    <row r="30" ht="15.75" customHeight="1"/>
    <row r="31" ht="15.75" customHeight="1">
      <c r="A31" s="3" t="s">
        <v>150</v>
      </c>
      <c r="B31" s="3" t="s">
        <v>151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1"/>
    <hyperlink r:id="rId2" ref="I1"/>
    <hyperlink r:id="rId3" ref="B24"/>
  </hyperlinks>
  <printOptions/>
  <pageMargins bottom="0.984027777777778" footer="0.0" header="0.0" left="0.747916666666667" right="0.747916666666667" top="0.984027777777778"/>
  <pageSetup paperSize="9" orientation="portrait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4.5"/>
  </cols>
  <sheetData>
    <row r="1" ht="15.75" customHeight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5.75" customHeight="1">
      <c r="A2" s="25"/>
      <c r="B2" s="25"/>
      <c r="C2" s="26" t="s">
        <v>152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5.75" customHeight="1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5.75" customHeight="1">
      <c r="A4" s="27" t="s">
        <v>153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5.75" customHeight="1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5.75" customHeight="1">
      <c r="A6" s="28"/>
      <c r="B6" s="29" t="s">
        <v>154</v>
      </c>
      <c r="C6" s="25"/>
      <c r="D6" s="25"/>
      <c r="E6" s="25"/>
      <c r="F6" s="25"/>
      <c r="G6" s="25"/>
      <c r="H6" s="25"/>
      <c r="I6" s="30" t="s">
        <v>155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5.75" customHeight="1">
      <c r="A7" s="27"/>
      <c r="B7" s="29" t="s">
        <v>156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5.75" customHeight="1">
      <c r="A8" s="31" t="s">
        <v>157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5.75" customHeight="1">
      <c r="A9" s="28"/>
      <c r="B9" s="29" t="s">
        <v>158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5.75" customHeight="1">
      <c r="A10" s="25"/>
      <c r="B10" s="29" t="s">
        <v>159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5.75" customHeight="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5.75" customHeight="1">
      <c r="A12" s="30" t="s">
        <v>160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5.75" customHeight="1">
      <c r="A13" s="28"/>
      <c r="B13" s="29" t="s">
        <v>161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5.75" customHeight="1">
      <c r="A14" s="25"/>
      <c r="B14" s="30" t="s">
        <v>162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5.7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5.75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5.75" customHeight="1">
      <c r="A17" s="26" t="s">
        <v>163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5.75" customHeight="1">
      <c r="A18" s="25"/>
      <c r="B18" s="30" t="s">
        <v>164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5.75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5.75" customHeight="1">
      <c r="A20" s="26" t="s">
        <v>165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5.75" customHeight="1">
      <c r="A21" s="30" t="s">
        <v>166</v>
      </c>
      <c r="B21" s="30" t="s">
        <v>167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5.75" customHeight="1">
      <c r="A22" s="25"/>
      <c r="B22" s="32" t="s">
        <v>168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5.75" customHeight="1">
      <c r="A23" s="26" t="s">
        <v>169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5.75" customHeight="1">
      <c r="A24" s="25"/>
      <c r="B24" s="30" t="s">
        <v>170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5.75" customHeight="1">
      <c r="A25" s="30" t="s">
        <v>171</v>
      </c>
      <c r="B25" s="30" t="s">
        <v>172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5"/>
      <c r="B29" s="30" t="s">
        <v>173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75"/>
    <col customWidth="1" min="2" max="7" width="32.38"/>
    <col customWidth="1" min="8" max="8" width="22.75"/>
    <col customWidth="1" min="9" max="9" width="32.38"/>
    <col customWidth="1" min="10" max="10" width="23.75"/>
    <col customWidth="1" min="11" max="11" width="9.13"/>
    <col customWidth="1" min="12" max="26" width="32.38"/>
  </cols>
  <sheetData>
    <row r="1" ht="15.75" customHeight="1">
      <c r="A1" s="33"/>
      <c r="B1" s="33"/>
      <c r="C1" s="33" t="s">
        <v>174</v>
      </c>
      <c r="D1" s="33" t="s">
        <v>175</v>
      </c>
      <c r="E1" s="33"/>
      <c r="F1" s="33" t="s">
        <v>176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15.75" customHeight="1">
      <c r="A2" s="33" t="s">
        <v>177</v>
      </c>
      <c r="B2" s="33"/>
      <c r="C2" s="33" t="s">
        <v>178</v>
      </c>
      <c r="D2" s="33"/>
      <c r="E2" s="33"/>
      <c r="F2" s="33"/>
      <c r="G2" s="33"/>
      <c r="H2" s="34" t="s">
        <v>179</v>
      </c>
      <c r="I2" s="35" t="s">
        <v>180</v>
      </c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15.75" customHeight="1">
      <c r="A3" s="33" t="s">
        <v>181</v>
      </c>
      <c r="B3" s="34" t="s">
        <v>182</v>
      </c>
      <c r="C3" s="33" t="s">
        <v>183</v>
      </c>
      <c r="D3" s="33"/>
      <c r="E3" s="33" t="s">
        <v>184</v>
      </c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15.75" customHeight="1">
      <c r="A4" s="33" t="s">
        <v>185</v>
      </c>
      <c r="B4" s="33"/>
      <c r="C4" s="33" t="s">
        <v>183</v>
      </c>
      <c r="D4" s="33"/>
      <c r="E4" s="33" t="s">
        <v>186</v>
      </c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15.75" customHeight="1">
      <c r="A5" s="33"/>
      <c r="B5" s="33"/>
      <c r="C5" s="33" t="s">
        <v>187</v>
      </c>
      <c r="D5" s="33"/>
      <c r="E5" s="33" t="s">
        <v>188</v>
      </c>
      <c r="F5" s="33"/>
      <c r="G5" s="33"/>
      <c r="H5" s="34" t="s">
        <v>189</v>
      </c>
      <c r="I5" s="35" t="s">
        <v>190</v>
      </c>
      <c r="J5" s="33"/>
      <c r="K5" s="33"/>
      <c r="L5" s="36" t="s">
        <v>191</v>
      </c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15.75" customHeight="1">
      <c r="A6" s="33"/>
      <c r="B6" s="33"/>
      <c r="C6" s="33" t="s">
        <v>192</v>
      </c>
      <c r="D6" s="33"/>
      <c r="E6" s="33" t="s">
        <v>193</v>
      </c>
      <c r="F6" s="33"/>
      <c r="G6" s="33"/>
      <c r="H6" s="33"/>
      <c r="I6" s="33"/>
      <c r="J6" s="33"/>
      <c r="K6" s="33"/>
      <c r="L6" s="36" t="s">
        <v>194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15.75" customHeight="1">
      <c r="A7" s="33"/>
      <c r="B7" s="34" t="s">
        <v>195</v>
      </c>
      <c r="C7" s="33" t="s">
        <v>196</v>
      </c>
      <c r="D7" s="33"/>
      <c r="E7" s="33" t="s">
        <v>197</v>
      </c>
      <c r="F7" s="33"/>
      <c r="G7" s="33"/>
      <c r="H7" s="33"/>
      <c r="I7" s="37"/>
      <c r="J7" s="33"/>
      <c r="K7" s="33"/>
      <c r="L7" s="36" t="s">
        <v>198</v>
      </c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15.75" customHeight="1">
      <c r="A8" s="33"/>
      <c r="B8" s="33"/>
      <c r="C8" s="33"/>
      <c r="D8" s="33"/>
      <c r="E8" s="33"/>
      <c r="F8" s="33"/>
      <c r="G8" s="33"/>
      <c r="H8" s="34" t="s">
        <v>199</v>
      </c>
      <c r="I8" s="35" t="s">
        <v>200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15.75" customHeight="1">
      <c r="A9" s="33"/>
      <c r="B9" s="33"/>
      <c r="C9" s="33"/>
      <c r="D9" s="33"/>
      <c r="E9" s="33"/>
      <c r="F9" s="33"/>
      <c r="G9" s="33"/>
      <c r="H9" s="33"/>
      <c r="I9" s="37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15.75" customHeight="1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8" t="s">
        <v>201</v>
      </c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15.75" customHeight="1">
      <c r="A11" s="33"/>
      <c r="B11" s="33"/>
      <c r="C11" s="33"/>
      <c r="D11" s="33"/>
      <c r="E11" s="33"/>
      <c r="F11" s="33"/>
      <c r="G11" s="33"/>
      <c r="H11" s="34" t="s">
        <v>202</v>
      </c>
      <c r="I11" s="35" t="s">
        <v>203</v>
      </c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15.75" customHeight="1">
      <c r="A12" s="33"/>
      <c r="B12" s="33"/>
      <c r="C12" s="33" t="s">
        <v>204</v>
      </c>
      <c r="D12" s="33"/>
      <c r="E12" s="33"/>
      <c r="F12" s="33"/>
      <c r="G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15.75" customHeight="1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5.75" customHeight="1">
      <c r="A14" s="33"/>
      <c r="B14" s="33" t="s">
        <v>205</v>
      </c>
      <c r="C14" s="37" t="s">
        <v>143</v>
      </c>
      <c r="D14" s="33"/>
      <c r="E14" s="33"/>
      <c r="F14" s="33"/>
      <c r="G14" s="33"/>
      <c r="H14" s="34" t="s">
        <v>206</v>
      </c>
      <c r="I14" s="35" t="s">
        <v>207</v>
      </c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15.75" customHeight="1">
      <c r="A15" s="33"/>
      <c r="B15" s="39" t="s">
        <v>144</v>
      </c>
      <c r="C15" s="33" t="s">
        <v>208</v>
      </c>
      <c r="D15" s="33"/>
      <c r="E15" s="33"/>
      <c r="F15" s="33"/>
      <c r="G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5.75" customHeight="1">
      <c r="A16" s="33"/>
      <c r="B16" s="33"/>
      <c r="C16" s="37" t="s">
        <v>209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5.75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15.75" customHeight="1">
      <c r="A18" s="33" t="s">
        <v>210</v>
      </c>
      <c r="B18" s="33" t="s">
        <v>211</v>
      </c>
      <c r="C18" s="35" t="s">
        <v>212</v>
      </c>
      <c r="D18" s="33"/>
      <c r="E18" s="33"/>
      <c r="F18" s="33"/>
      <c r="G18" s="33"/>
      <c r="H18" s="34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5.7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5.75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5.7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5.75" customHeight="1">
      <c r="A22" s="33"/>
      <c r="B22" s="33" t="s">
        <v>213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5.75" customHeight="1">
      <c r="A23" s="33"/>
      <c r="B23" s="33"/>
      <c r="C23" s="39" t="s">
        <v>214</v>
      </c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5.75" customHeight="1">
      <c r="A24" s="33"/>
      <c r="B24" s="33"/>
      <c r="C24" s="40" t="s">
        <v>215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5.75" customHeight="1">
      <c r="A25" s="33"/>
      <c r="B25" s="33"/>
      <c r="C25" s="40" t="s">
        <v>216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5.75" customHeight="1">
      <c r="A26" s="33"/>
      <c r="B26" s="33" t="s">
        <v>217</v>
      </c>
      <c r="C26" s="33" t="s">
        <v>208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5.75" customHeight="1">
      <c r="A27" s="33"/>
      <c r="B27" s="33" t="s">
        <v>218</v>
      </c>
      <c r="C27" s="33" t="s">
        <v>219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5.75" customHeight="1">
      <c r="A28" s="33"/>
      <c r="B28" s="33"/>
      <c r="C28" s="33" t="s">
        <v>220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5.75" customHeight="1">
      <c r="A29" s="33"/>
      <c r="B29" s="33"/>
      <c r="C29" s="33" t="s">
        <v>221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5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5.7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5.75" customHeight="1">
      <c r="A32" s="33"/>
      <c r="B32" s="33"/>
      <c r="C32" s="33" t="s">
        <v>222</v>
      </c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5.7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5.75" customHeight="1">
      <c r="A34" s="33"/>
      <c r="B34" s="33"/>
      <c r="C34" s="33" t="s">
        <v>223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5.7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5.7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5.75" customHeight="1">
      <c r="A37" s="33"/>
      <c r="B37" s="33" t="s">
        <v>224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5.75" customHeight="1">
      <c r="A38" s="33"/>
      <c r="B38" s="33"/>
      <c r="C38" s="35" t="s">
        <v>225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5.7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5.7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5.7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5.7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5.7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5.7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5.7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5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5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5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5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5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5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5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5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5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5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5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5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5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5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5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5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5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5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5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5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5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5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5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5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5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5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5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5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5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5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5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5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5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5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5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5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5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5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5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5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5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5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5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5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5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5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5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5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5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5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5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5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5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5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5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5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5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5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5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5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5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5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5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5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5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5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5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5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5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5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15"/>
    <hyperlink r:id="rId2" ref="C23"/>
  </hyperlinks>
  <printOptions/>
  <pageMargins bottom="0.984027777777778" footer="0.0" header="0.0" left="0.747916666666667" right="0.747916666666667" top="0.984027777777778"/>
  <pageSetup paperSize="9" orientation="portrait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4.5"/>
  </cols>
  <sheetData>
    <row r="1" ht="15.75" customHeight="1">
      <c r="A1" s="1"/>
      <c r="B1" s="1" t="s">
        <v>226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6" t="s">
        <v>227</v>
      </c>
      <c r="B2" s="1" t="s">
        <v>228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41" t="s">
        <v>229</v>
      </c>
      <c r="C3" s="1"/>
      <c r="D3" s="1" t="s">
        <v>230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4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6" t="s">
        <v>231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 t="s">
        <v>232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42" t="s">
        <v>233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4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 t="s">
        <v>234</v>
      </c>
      <c r="C10" s="1" t="s">
        <v>235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 t="s">
        <v>236</v>
      </c>
      <c r="C13" s="44"/>
      <c r="D13" s="1"/>
      <c r="E13" s="1"/>
      <c r="F13" s="1"/>
      <c r="G13" s="1"/>
      <c r="H13" s="1" t="s">
        <v>237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 t="s">
        <v>229</v>
      </c>
      <c r="D14" s="1"/>
      <c r="E14" s="1"/>
      <c r="F14" s="1" t="s">
        <v>238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 t="s">
        <v>239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 t="s">
        <v>240</v>
      </c>
      <c r="B17" s="1" t="s">
        <v>238</v>
      </c>
      <c r="C17" s="1"/>
      <c r="D17" s="1"/>
      <c r="E17" s="1"/>
      <c r="F17" s="6" t="s">
        <v>241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6" t="s">
        <v>242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 t="s">
        <v>239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243</v>
      </c>
      <c r="B21" s="45" t="s">
        <v>244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 t="s">
        <v>245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246</v>
      </c>
      <c r="B24" s="3" t="s">
        <v>247</v>
      </c>
      <c r="C24" s="1"/>
      <c r="D24" s="1"/>
      <c r="E24" s="1"/>
      <c r="F24" s="1" t="s">
        <v>247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3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6" t="s">
        <v>248</v>
      </c>
      <c r="B26" s="3" t="s">
        <v>249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3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 t="s">
        <v>250</v>
      </c>
      <c r="C28" s="6" t="s">
        <v>251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 t="s">
        <v>252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253</v>
      </c>
      <c r="B34" s="1"/>
      <c r="C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254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6" t="s">
        <v>255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 t="s">
        <v>256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46" t="s">
        <v>257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3" t="s">
        <v>258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47" t="s">
        <v>226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47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 t="s">
        <v>259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7" t="s">
        <v>260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 t="s">
        <v>261</v>
      </c>
      <c r="D49" s="1" t="s">
        <v>259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3" t="s">
        <v>262</v>
      </c>
      <c r="T50" s="1"/>
      <c r="U50" s="1"/>
      <c r="V50" s="1"/>
      <c r="W50" s="1"/>
      <c r="X50" s="1"/>
      <c r="Y50" s="1"/>
      <c r="Z50" s="1"/>
    </row>
    <row r="51" ht="15.75" customHeight="1">
      <c r="A51" s="1"/>
      <c r="B51" s="3" t="s">
        <v>262</v>
      </c>
      <c r="C51" s="3" t="s">
        <v>262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 t="s">
        <v>263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 t="s">
        <v>264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48" t="s">
        <v>226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 t="s">
        <v>257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4.5"/>
  </cols>
  <sheetData>
    <row r="1" ht="15.75" customHeight="1"/>
    <row r="2" ht="15.75" customHeight="1">
      <c r="B2" s="49" t="s">
        <v>265</v>
      </c>
    </row>
    <row r="3" ht="15.75" customHeight="1"/>
    <row r="4" ht="15.75" customHeight="1"/>
    <row r="5" ht="15.75" customHeight="1">
      <c r="B5" s="3" t="s">
        <v>266</v>
      </c>
    </row>
    <row r="6" ht="15.75" customHeight="1">
      <c r="B6" s="24" t="s">
        <v>267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</hyperlinks>
  <printOptions/>
  <pageMargins bottom="0.984027777777778" footer="0.0" header="0.0" left="0.747916666666667" right="0.747916666666667" top="0.984027777777778"/>
  <pageSetup paperSize="9" orientation="portrait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4.5"/>
  </cols>
  <sheetData>
    <row r="1" ht="15.75" customHeight="1"/>
    <row r="2" ht="15.75" customHeight="1"/>
    <row r="3" ht="15.75" customHeight="1"/>
    <row r="4" ht="15.75" customHeight="1"/>
    <row r="5" ht="15.75" customHeight="1">
      <c r="A5" s="3" t="s">
        <v>268</v>
      </c>
    </row>
    <row r="6" ht="15.75" customHeight="1">
      <c r="B6" s="3" t="s">
        <v>269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23.38"/>
    <col customWidth="1" min="3" max="26" width="14.5"/>
  </cols>
  <sheetData>
    <row r="1" ht="15.75" customHeight="1"/>
    <row r="2" ht="15.75" customHeight="1"/>
    <row r="3" ht="15.75" customHeight="1">
      <c r="B3" s="3" t="s">
        <v>270</v>
      </c>
      <c r="C3" s="3" t="s">
        <v>271</v>
      </c>
    </row>
    <row r="4" ht="15.75" customHeight="1"/>
    <row r="5" ht="15.75" customHeight="1"/>
    <row r="6" ht="15.75" customHeight="1">
      <c r="B6" s="3" t="s">
        <v>272</v>
      </c>
      <c r="C6" s="3" t="s">
        <v>273</v>
      </c>
    </row>
    <row r="7" ht="15.75" customHeight="1">
      <c r="B7" s="3" t="s">
        <v>274</v>
      </c>
      <c r="C7" s="24" t="s">
        <v>275</v>
      </c>
    </row>
    <row r="8" ht="15.75" customHeight="1"/>
    <row r="9" ht="15.75" customHeight="1">
      <c r="B9" s="3" t="s">
        <v>276</v>
      </c>
      <c r="C9" s="49" t="s">
        <v>277</v>
      </c>
    </row>
    <row r="10" ht="15.75" customHeight="1"/>
    <row r="11" ht="15.75" customHeight="1">
      <c r="B11" s="3" t="s">
        <v>278</v>
      </c>
      <c r="C11" s="3" t="s">
        <v>279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9"/>
  </hyperlinks>
  <printOptions/>
  <pageMargins bottom="0.984027777777778" footer="0.0" header="0.0" left="0.747916666666667" right="0.747916666666667" top="0.984027777777778"/>
  <pageSetup paperSize="9" orientation="portrait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4.5"/>
  </cols>
  <sheetData>
    <row r="1" ht="15.75" customHeight="1">
      <c r="A1" s="1"/>
      <c r="B1" s="1"/>
      <c r="C1" s="1"/>
      <c r="D1" s="1" t="s">
        <v>280</v>
      </c>
      <c r="E1" s="1" t="s">
        <v>281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 t="s">
        <v>282</v>
      </c>
      <c r="C2" s="1" t="s">
        <v>283</v>
      </c>
      <c r="D2" s="1" t="s">
        <v>284</v>
      </c>
      <c r="E2" s="1" t="s">
        <v>285</v>
      </c>
      <c r="F2" s="2" t="s">
        <v>286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 t="s">
        <v>287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 t="s">
        <v>288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 t="s">
        <v>289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 t="s">
        <v>290</v>
      </c>
      <c r="C7" s="1"/>
      <c r="D7" s="1"/>
      <c r="E7" s="1"/>
      <c r="F7" s="1"/>
      <c r="G7" s="1"/>
      <c r="H7" s="1"/>
      <c r="I7" s="1"/>
      <c r="J7" s="1"/>
      <c r="K7" s="1"/>
      <c r="L7" s="1" t="s">
        <v>239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 t="s">
        <v>291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2" t="s">
        <v>292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0" t="s">
        <v>239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 t="s">
        <v>293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6" t="s">
        <v>294</v>
      </c>
      <c r="C14" s="1"/>
      <c r="D14" s="1"/>
      <c r="E14" s="1"/>
      <c r="F14" s="1"/>
      <c r="G14" s="1"/>
      <c r="H14" s="1"/>
      <c r="I14" s="1"/>
      <c r="J14" s="1"/>
      <c r="K14" s="10"/>
      <c r="L14" s="10"/>
      <c r="M14" s="10"/>
      <c r="N14" s="50" t="s">
        <v>295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0" t="s">
        <v>296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0" t="s">
        <v>297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1"/>
      <c r="B17" s="6" t="s">
        <v>298</v>
      </c>
      <c r="C17" s="1"/>
      <c r="D17" s="1"/>
      <c r="E17" s="1"/>
      <c r="F17" s="1"/>
      <c r="G17" s="1"/>
      <c r="H17" s="1"/>
      <c r="I17" s="1"/>
      <c r="J17" s="1"/>
      <c r="K17" s="1"/>
      <c r="L17" s="1" t="s">
        <v>299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 t="s">
        <v>300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6" t="s">
        <v>301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6" t="s">
        <v>302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 t="s">
        <v>303</v>
      </c>
      <c r="C21" s="1"/>
      <c r="D21" s="1"/>
      <c r="E21" s="1"/>
      <c r="F21" s="1"/>
      <c r="G21" s="1"/>
      <c r="H21" s="1"/>
      <c r="I21" s="1"/>
      <c r="J21" s="1"/>
      <c r="K21" s="1" t="s">
        <v>304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305</v>
      </c>
      <c r="B22" s="1"/>
      <c r="C22" s="1"/>
      <c r="D22" s="1"/>
      <c r="E22" s="1"/>
      <c r="F22" s="1"/>
      <c r="G22" s="1"/>
      <c r="H22" s="1"/>
      <c r="I22" s="1"/>
      <c r="J22" s="1"/>
      <c r="K22" s="1" t="s">
        <v>306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 t="s">
        <v>307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" t="s">
        <v>308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 t="s">
        <v>309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 t="s">
        <v>310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 t="s">
        <v>311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 t="s">
        <v>312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 t="s">
        <v>313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51" t="s">
        <v>314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 t="s">
        <v>315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 t="s">
        <v>316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 t="s">
        <v>317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 t="s">
        <v>226</v>
      </c>
      <c r="C38" s="1"/>
      <c r="D38" s="1"/>
      <c r="E38" s="1"/>
      <c r="F38" s="10" t="s">
        <v>239</v>
      </c>
      <c r="G38" s="10"/>
      <c r="H38" s="1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 t="s">
        <v>318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6" t="s">
        <v>319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 t="s">
        <v>226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 t="s">
        <v>320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 t="s">
        <v>321</v>
      </c>
      <c r="C48" s="1"/>
      <c r="D48" s="1"/>
      <c r="E48" s="1"/>
      <c r="F48" s="1">
        <v>103.0</v>
      </c>
      <c r="G48" s="1" t="s">
        <v>322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323</v>
      </c>
      <c r="B49" s="1"/>
      <c r="C49" s="1"/>
      <c r="D49" s="1"/>
      <c r="E49" s="1"/>
      <c r="F49" s="1"/>
      <c r="G49" s="1" t="s">
        <v>324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3" t="s">
        <v>325</v>
      </c>
      <c r="D50" s="1"/>
      <c r="E50" s="1"/>
      <c r="F50" s="1"/>
      <c r="G50" s="1" t="s">
        <v>326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 t="s">
        <v>327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2" t="s">
        <v>328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  <hyperlink r:id="rId2" ref="B12"/>
    <hyperlink r:id="rId3" ref="B24"/>
    <hyperlink r:id="rId4" ref="C61"/>
  </hyperlinks>
  <printOptions/>
  <pageMargins bottom="0.984027777777778" footer="0.0" header="0.0" left="0.747916666666667" right="0.747916666666667" top="0.984027777777778"/>
  <pageSetup paperSize="9" orientation="portrait"/>
  <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4.5"/>
    <col customWidth="1" min="6" max="6" width="24.0"/>
    <col customWidth="1" min="7" max="10" width="14.5"/>
    <col customWidth="1" min="11" max="11" width="27.25"/>
    <col customWidth="1" min="12" max="26" width="14.5"/>
  </cols>
  <sheetData>
    <row r="1" ht="15.75" customHeight="1">
      <c r="A1" s="52"/>
      <c r="B1" s="53" t="s">
        <v>329</v>
      </c>
      <c r="C1" s="54"/>
      <c r="D1" s="54"/>
      <c r="E1" s="54"/>
      <c r="F1" s="55"/>
      <c r="G1" s="53" t="s">
        <v>330</v>
      </c>
      <c r="H1" s="54"/>
      <c r="I1" s="54"/>
      <c r="J1" s="54"/>
      <c r="K1" s="55"/>
    </row>
    <row r="2" ht="15.75" customHeight="1">
      <c r="A2" s="56"/>
      <c r="G2" s="57"/>
      <c r="H2" s="57"/>
      <c r="I2" s="57"/>
      <c r="J2" s="57"/>
      <c r="K2" s="57"/>
    </row>
    <row r="3" ht="15.75" customHeight="1">
      <c r="A3" s="56" t="s">
        <v>331</v>
      </c>
      <c r="C3" s="3" t="s">
        <v>332</v>
      </c>
      <c r="G3" s="58" t="s">
        <v>41</v>
      </c>
      <c r="H3" s="57"/>
      <c r="I3" s="57"/>
      <c r="J3" s="57"/>
      <c r="K3" s="57"/>
    </row>
    <row r="4" ht="15.75" customHeight="1">
      <c r="A4" s="56" t="s">
        <v>333</v>
      </c>
      <c r="G4" s="57"/>
      <c r="H4" s="57"/>
      <c r="I4" s="57"/>
      <c r="J4" s="57"/>
      <c r="K4" s="57"/>
    </row>
    <row r="5" ht="15.75" customHeight="1">
      <c r="A5" s="56" t="s">
        <v>334</v>
      </c>
      <c r="G5" s="59" t="s">
        <v>335</v>
      </c>
      <c r="H5" s="57"/>
      <c r="I5" s="57"/>
      <c r="J5" s="57"/>
      <c r="K5" s="57"/>
    </row>
    <row r="6" ht="15.75" customHeight="1">
      <c r="A6" s="56"/>
      <c r="G6" s="59" t="s">
        <v>336</v>
      </c>
      <c r="H6" s="57"/>
      <c r="I6" s="57"/>
      <c r="J6" s="57"/>
      <c r="K6" s="57"/>
    </row>
    <row r="7" ht="15.75" customHeight="1">
      <c r="A7" s="56"/>
      <c r="G7" s="57"/>
      <c r="H7" s="57"/>
      <c r="I7" s="57"/>
      <c r="J7" s="57"/>
      <c r="K7" s="57"/>
    </row>
    <row r="8" ht="15.75" customHeight="1">
      <c r="A8" s="56"/>
      <c r="G8" s="57"/>
      <c r="H8" s="57"/>
      <c r="I8" s="57"/>
      <c r="J8" s="57"/>
      <c r="K8" s="57"/>
    </row>
    <row r="9" ht="15.75" customHeight="1">
      <c r="A9" s="56"/>
      <c r="G9" s="57"/>
      <c r="H9" s="57"/>
      <c r="I9" s="57"/>
      <c r="J9" s="57"/>
      <c r="K9" s="57"/>
    </row>
    <row r="10" ht="15.75" customHeight="1">
      <c r="A10" s="56"/>
      <c r="G10" s="57"/>
      <c r="H10" s="57"/>
      <c r="I10" s="57"/>
      <c r="J10" s="57"/>
      <c r="K10" s="57"/>
    </row>
    <row r="11" ht="15.75" customHeight="1">
      <c r="A11" s="56" t="s">
        <v>337</v>
      </c>
      <c r="C11" s="17" t="s">
        <v>338</v>
      </c>
      <c r="G11" s="57"/>
      <c r="H11" s="57"/>
      <c r="I11" s="57"/>
      <c r="J11" s="57"/>
      <c r="K11" s="57"/>
    </row>
    <row r="12" ht="15.75" customHeight="1">
      <c r="A12" s="56"/>
      <c r="C12" s="3" t="s">
        <v>339</v>
      </c>
      <c r="G12" s="57"/>
      <c r="H12" s="57"/>
      <c r="I12" s="57"/>
      <c r="J12" s="57"/>
      <c r="K12" s="57"/>
    </row>
    <row r="13" ht="15.75" customHeight="1">
      <c r="A13" s="56"/>
      <c r="G13" s="57"/>
      <c r="H13" s="57"/>
      <c r="I13" s="57"/>
      <c r="J13" s="57"/>
      <c r="K13" s="57"/>
    </row>
    <row r="14" ht="15.75" customHeight="1">
      <c r="A14" s="56"/>
      <c r="G14" s="57"/>
      <c r="H14" s="57"/>
      <c r="I14" s="57"/>
      <c r="J14" s="57"/>
      <c r="K14" s="57"/>
    </row>
    <row r="15" ht="15.75" customHeight="1">
      <c r="A15" s="56"/>
      <c r="G15" s="57"/>
      <c r="H15" s="57"/>
      <c r="I15" s="57"/>
      <c r="J15" s="57"/>
      <c r="K15" s="57"/>
    </row>
    <row r="16" ht="15.75" customHeight="1">
      <c r="A16" s="56"/>
      <c r="G16" s="57"/>
      <c r="H16" s="57"/>
      <c r="I16" s="57"/>
      <c r="J16" s="57"/>
      <c r="K16" s="57"/>
    </row>
    <row r="17" ht="15.75" customHeight="1">
      <c r="A17" s="56"/>
      <c r="G17" s="57"/>
      <c r="H17" s="57"/>
      <c r="I17" s="57"/>
      <c r="J17" s="57"/>
      <c r="K17" s="57"/>
    </row>
    <row r="18" ht="15.75" customHeight="1">
      <c r="A18" s="56"/>
      <c r="G18" s="57"/>
      <c r="H18" s="57"/>
      <c r="I18" s="57"/>
      <c r="J18" s="57"/>
      <c r="K18" s="57"/>
    </row>
    <row r="19" ht="15.75" customHeight="1">
      <c r="A19" s="56"/>
      <c r="G19" s="57"/>
      <c r="H19" s="57"/>
      <c r="I19" s="57"/>
      <c r="J19" s="57"/>
      <c r="K19" s="57"/>
    </row>
    <row r="20" ht="15.75" customHeight="1">
      <c r="A20" s="56"/>
      <c r="G20" s="57"/>
      <c r="H20" s="57"/>
      <c r="I20" s="57"/>
      <c r="J20" s="57"/>
      <c r="K20" s="57"/>
    </row>
    <row r="21" ht="15.75" customHeight="1">
      <c r="A21" s="56"/>
      <c r="G21" s="57"/>
      <c r="H21" s="57"/>
      <c r="I21" s="57"/>
      <c r="J21" s="57"/>
      <c r="K21" s="57"/>
    </row>
    <row r="22" ht="15.75" customHeight="1">
      <c r="A22" s="56"/>
      <c r="G22" s="57"/>
      <c r="H22" s="57"/>
      <c r="I22" s="57"/>
      <c r="J22" s="57"/>
      <c r="K22" s="57"/>
    </row>
    <row r="23" ht="15.75" customHeight="1">
      <c r="A23" s="56"/>
      <c r="G23" s="57"/>
      <c r="H23" s="57"/>
      <c r="I23" s="57"/>
      <c r="J23" s="57"/>
      <c r="K23" s="57"/>
    </row>
    <row r="24" ht="15.75" customHeight="1">
      <c r="A24" s="56"/>
      <c r="G24" s="57"/>
      <c r="H24" s="57"/>
      <c r="I24" s="57"/>
      <c r="J24" s="57"/>
      <c r="K24" s="57"/>
    </row>
    <row r="25" ht="15.75" customHeight="1">
      <c r="A25" s="56"/>
      <c r="G25" s="57"/>
      <c r="H25" s="57"/>
      <c r="I25" s="57"/>
      <c r="J25" s="57"/>
      <c r="K25" s="57"/>
    </row>
    <row r="26" ht="15.75" customHeight="1">
      <c r="A26" s="56"/>
      <c r="G26" s="57"/>
      <c r="H26" s="57"/>
      <c r="I26" s="57"/>
      <c r="J26" s="57"/>
      <c r="K26" s="57"/>
    </row>
    <row r="27" ht="15.75" customHeight="1">
      <c r="A27" s="56"/>
      <c r="G27" s="57"/>
      <c r="H27" s="57"/>
      <c r="I27" s="57"/>
      <c r="J27" s="57"/>
      <c r="K27" s="57"/>
    </row>
    <row r="28" ht="15.75" customHeight="1">
      <c r="A28" s="56"/>
      <c r="G28" s="57"/>
      <c r="H28" s="57"/>
      <c r="I28" s="57"/>
      <c r="J28" s="57"/>
      <c r="K28" s="57"/>
    </row>
    <row r="29" ht="15.75" customHeight="1">
      <c r="A29" s="56"/>
      <c r="G29" s="57"/>
      <c r="H29" s="57"/>
      <c r="I29" s="57"/>
      <c r="J29" s="57"/>
      <c r="K29" s="57"/>
    </row>
    <row r="30" ht="15.75" customHeight="1">
      <c r="A30" s="56"/>
      <c r="G30" s="57"/>
      <c r="H30" s="57"/>
      <c r="I30" s="57"/>
      <c r="J30" s="57"/>
      <c r="K30" s="57"/>
    </row>
    <row r="31" ht="15.75" customHeight="1">
      <c r="A31" s="56"/>
      <c r="G31" s="57"/>
      <c r="H31" s="57"/>
      <c r="I31" s="57"/>
      <c r="J31" s="57"/>
      <c r="K31" s="57"/>
    </row>
    <row r="32" ht="15.75" customHeight="1">
      <c r="A32" s="56"/>
      <c r="G32" s="57"/>
      <c r="H32" s="57"/>
      <c r="I32" s="57"/>
      <c r="J32" s="57"/>
      <c r="K32" s="57"/>
    </row>
    <row r="33" ht="15.75" customHeight="1">
      <c r="A33" s="56"/>
      <c r="G33" s="57"/>
      <c r="H33" s="57"/>
      <c r="I33" s="57"/>
      <c r="J33" s="57"/>
      <c r="K33" s="57"/>
    </row>
    <row r="34" ht="15.75" customHeight="1">
      <c r="A34" s="56"/>
      <c r="G34" s="57"/>
      <c r="H34" s="57"/>
      <c r="I34" s="57"/>
      <c r="J34" s="57"/>
      <c r="K34" s="57"/>
    </row>
    <row r="35" ht="15.75" customHeight="1">
      <c r="A35" s="56"/>
      <c r="G35" s="57"/>
      <c r="H35" s="57"/>
      <c r="I35" s="57"/>
      <c r="J35" s="57"/>
      <c r="K35" s="57"/>
    </row>
    <row r="36" ht="15.75" customHeight="1">
      <c r="A36" s="56"/>
      <c r="G36" s="57"/>
      <c r="H36" s="57"/>
      <c r="I36" s="57"/>
      <c r="J36" s="57"/>
      <c r="K36" s="57"/>
    </row>
    <row r="37" ht="15.75" customHeight="1">
      <c r="A37" s="56"/>
      <c r="G37" s="57"/>
      <c r="H37" s="57"/>
      <c r="I37" s="57"/>
      <c r="J37" s="57"/>
      <c r="K37" s="57"/>
    </row>
    <row r="38" ht="15.75" customHeight="1">
      <c r="A38" s="56"/>
      <c r="G38" s="57"/>
      <c r="H38" s="57"/>
      <c r="I38" s="57"/>
      <c r="J38" s="57"/>
      <c r="K38" s="57"/>
    </row>
    <row r="39" ht="15.75" customHeight="1">
      <c r="A39" s="56"/>
      <c r="G39" s="57"/>
      <c r="H39" s="57"/>
      <c r="I39" s="57"/>
      <c r="J39" s="57"/>
      <c r="K39" s="57"/>
    </row>
    <row r="40" ht="15.75" customHeight="1">
      <c r="A40" s="56"/>
      <c r="G40" s="57"/>
      <c r="H40" s="57"/>
      <c r="I40" s="57"/>
      <c r="J40" s="57"/>
      <c r="K40" s="57"/>
    </row>
    <row r="41" ht="15.75" customHeight="1">
      <c r="A41" s="56"/>
      <c r="G41" s="57"/>
      <c r="H41" s="57"/>
      <c r="I41" s="57"/>
      <c r="J41" s="57"/>
      <c r="K41" s="57"/>
    </row>
    <row r="42" ht="15.75" customHeight="1">
      <c r="A42" s="56"/>
      <c r="G42" s="57"/>
      <c r="H42" s="57"/>
      <c r="I42" s="57"/>
      <c r="J42" s="57"/>
      <c r="K42" s="57"/>
    </row>
    <row r="43" ht="15.75" customHeight="1">
      <c r="A43" s="56"/>
      <c r="G43" s="57"/>
      <c r="H43" s="57"/>
      <c r="I43" s="57"/>
      <c r="J43" s="57"/>
      <c r="K43" s="57"/>
    </row>
    <row r="44" ht="15.75" customHeight="1">
      <c r="A44" s="56"/>
      <c r="G44" s="57"/>
      <c r="H44" s="57"/>
      <c r="I44" s="57"/>
      <c r="J44" s="57"/>
      <c r="K44" s="57"/>
    </row>
    <row r="45" ht="15.75" customHeight="1">
      <c r="A45" s="56"/>
      <c r="G45" s="57"/>
      <c r="H45" s="57"/>
      <c r="I45" s="57"/>
      <c r="J45" s="57"/>
      <c r="K45" s="57"/>
    </row>
    <row r="46" ht="15.75" customHeight="1">
      <c r="A46" s="56"/>
      <c r="G46" s="57"/>
      <c r="H46" s="57"/>
      <c r="I46" s="57"/>
      <c r="J46" s="57"/>
      <c r="K46" s="57"/>
    </row>
    <row r="47" ht="15.75" customHeight="1">
      <c r="A47" s="56"/>
      <c r="G47" s="57"/>
      <c r="H47" s="57"/>
      <c r="I47" s="57"/>
      <c r="J47" s="57"/>
      <c r="K47" s="57"/>
    </row>
    <row r="48" ht="15.75" customHeight="1">
      <c r="A48" s="56"/>
      <c r="G48" s="57"/>
      <c r="H48" s="57"/>
      <c r="I48" s="57"/>
      <c r="J48" s="57"/>
      <c r="K48" s="57"/>
    </row>
    <row r="49" ht="15.75" customHeight="1">
      <c r="A49" s="56"/>
      <c r="G49" s="57"/>
      <c r="H49" s="57"/>
      <c r="I49" s="57"/>
      <c r="J49" s="57"/>
      <c r="K49" s="57"/>
    </row>
    <row r="50" ht="15.75" customHeight="1">
      <c r="A50" s="56"/>
      <c r="G50" s="57"/>
      <c r="H50" s="57"/>
      <c r="I50" s="57"/>
      <c r="J50" s="57"/>
      <c r="K50" s="57"/>
    </row>
    <row r="51" ht="15.75" customHeight="1">
      <c r="A51" s="56"/>
      <c r="G51" s="57"/>
      <c r="H51" s="57"/>
      <c r="I51" s="57"/>
      <c r="J51" s="57"/>
      <c r="K51" s="57"/>
    </row>
    <row r="52" ht="15.75" customHeight="1">
      <c r="A52" s="56"/>
      <c r="G52" s="57"/>
      <c r="H52" s="57"/>
      <c r="I52" s="57"/>
      <c r="J52" s="57"/>
      <c r="K52" s="57"/>
    </row>
    <row r="53" ht="15.75" customHeight="1">
      <c r="A53" s="56"/>
      <c r="G53" s="57"/>
      <c r="H53" s="57"/>
      <c r="I53" s="57"/>
      <c r="J53" s="57"/>
      <c r="K53" s="57"/>
    </row>
    <row r="54" ht="15.75" customHeight="1">
      <c r="A54" s="56"/>
      <c r="G54" s="57"/>
      <c r="H54" s="57"/>
      <c r="I54" s="57"/>
      <c r="J54" s="57"/>
      <c r="K54" s="57"/>
    </row>
    <row r="55" ht="15.75" customHeight="1">
      <c r="A55" s="56"/>
      <c r="G55" s="57"/>
      <c r="H55" s="57"/>
      <c r="I55" s="57"/>
      <c r="J55" s="57"/>
      <c r="K55" s="57"/>
    </row>
    <row r="56" ht="15.75" customHeight="1">
      <c r="A56" s="56"/>
      <c r="G56" s="57"/>
      <c r="H56" s="57"/>
      <c r="I56" s="57"/>
      <c r="J56" s="57"/>
      <c r="K56" s="57"/>
    </row>
    <row r="57" ht="15.75" customHeight="1">
      <c r="A57" s="56"/>
      <c r="G57" s="57"/>
      <c r="H57" s="57"/>
      <c r="I57" s="57"/>
      <c r="J57" s="57"/>
      <c r="K57" s="57"/>
    </row>
    <row r="58" ht="15.75" customHeight="1">
      <c r="A58" s="56"/>
      <c r="G58" s="57"/>
      <c r="H58" s="57"/>
      <c r="I58" s="57"/>
      <c r="J58" s="57"/>
      <c r="K58" s="57"/>
    </row>
    <row r="59" ht="15.75" customHeight="1">
      <c r="A59" s="56"/>
      <c r="G59" s="57"/>
      <c r="H59" s="57"/>
      <c r="I59" s="57"/>
      <c r="J59" s="57"/>
      <c r="K59" s="57"/>
    </row>
    <row r="60" ht="15.75" customHeight="1">
      <c r="A60" s="56"/>
      <c r="G60" s="57"/>
      <c r="H60" s="57"/>
      <c r="I60" s="57"/>
      <c r="J60" s="57"/>
      <c r="K60" s="57"/>
    </row>
    <row r="61" ht="15.75" customHeight="1">
      <c r="A61" s="56"/>
      <c r="G61" s="57"/>
      <c r="H61" s="57"/>
      <c r="I61" s="57"/>
      <c r="J61" s="57"/>
      <c r="K61" s="57"/>
    </row>
    <row r="62" ht="15.75" customHeight="1">
      <c r="A62" s="56"/>
      <c r="G62" s="57"/>
      <c r="H62" s="57"/>
      <c r="I62" s="57"/>
      <c r="J62" s="57"/>
      <c r="K62" s="57"/>
    </row>
    <row r="63" ht="15.75" customHeight="1">
      <c r="A63" s="56"/>
      <c r="G63" s="57"/>
      <c r="H63" s="57"/>
      <c r="I63" s="57"/>
      <c r="J63" s="57"/>
      <c r="K63" s="57"/>
    </row>
    <row r="64" ht="15.75" customHeight="1">
      <c r="A64" s="56"/>
      <c r="G64" s="57"/>
      <c r="H64" s="57"/>
      <c r="I64" s="57"/>
      <c r="J64" s="57"/>
      <c r="K64" s="57"/>
    </row>
    <row r="65" ht="15.75" customHeight="1">
      <c r="A65" s="56"/>
      <c r="G65" s="57"/>
      <c r="H65" s="57"/>
      <c r="I65" s="57"/>
      <c r="J65" s="57"/>
      <c r="K65" s="57"/>
    </row>
    <row r="66" ht="15.75" customHeight="1">
      <c r="A66" s="56"/>
      <c r="G66" s="57"/>
      <c r="H66" s="57"/>
      <c r="I66" s="57"/>
      <c r="J66" s="57"/>
      <c r="K66" s="57"/>
    </row>
    <row r="67" ht="15.75" customHeight="1">
      <c r="A67" s="56"/>
      <c r="G67" s="57"/>
      <c r="H67" s="57"/>
      <c r="I67" s="57"/>
      <c r="J67" s="57"/>
      <c r="K67" s="57"/>
    </row>
    <row r="68" ht="15.75" customHeight="1">
      <c r="A68" s="56"/>
      <c r="G68" s="57"/>
      <c r="H68" s="57"/>
      <c r="I68" s="57"/>
      <c r="J68" s="57"/>
      <c r="K68" s="57"/>
    </row>
    <row r="69" ht="15.75" customHeight="1">
      <c r="A69" s="56"/>
      <c r="G69" s="57"/>
      <c r="H69" s="57"/>
      <c r="I69" s="57"/>
      <c r="J69" s="57"/>
      <c r="K69" s="57"/>
    </row>
    <row r="70" ht="15.75" customHeight="1">
      <c r="A70" s="56"/>
      <c r="G70" s="57"/>
      <c r="H70" s="57"/>
      <c r="I70" s="57"/>
      <c r="J70" s="57"/>
      <c r="K70" s="57"/>
    </row>
    <row r="71" ht="15.75" customHeight="1">
      <c r="A71" s="56"/>
      <c r="G71" s="57"/>
      <c r="H71" s="57"/>
      <c r="I71" s="57"/>
      <c r="J71" s="57"/>
      <c r="K71" s="57"/>
    </row>
    <row r="72" ht="15.75" customHeight="1">
      <c r="A72" s="56"/>
      <c r="G72" s="57"/>
      <c r="H72" s="57"/>
      <c r="I72" s="57"/>
      <c r="J72" s="57"/>
      <c r="K72" s="57"/>
    </row>
    <row r="73" ht="15.75" customHeight="1">
      <c r="A73" s="56"/>
      <c r="G73" s="57"/>
      <c r="H73" s="57"/>
      <c r="I73" s="57"/>
      <c r="J73" s="57"/>
      <c r="K73" s="57"/>
    </row>
    <row r="74" ht="15.75" customHeight="1">
      <c r="A74" s="56"/>
      <c r="G74" s="57"/>
      <c r="H74" s="57"/>
      <c r="I74" s="57"/>
      <c r="J74" s="57"/>
      <c r="K74" s="57"/>
    </row>
    <row r="75" ht="15.75" customHeight="1">
      <c r="A75" s="56"/>
      <c r="G75" s="57"/>
      <c r="H75" s="57"/>
      <c r="I75" s="57"/>
      <c r="J75" s="57"/>
      <c r="K75" s="57"/>
    </row>
    <row r="76" ht="15.75" customHeight="1">
      <c r="A76" s="56"/>
      <c r="G76" s="57"/>
      <c r="H76" s="57"/>
      <c r="I76" s="57"/>
      <c r="J76" s="57"/>
      <c r="K76" s="57"/>
    </row>
    <row r="77" ht="15.75" customHeight="1">
      <c r="A77" s="56"/>
      <c r="G77" s="57"/>
      <c r="H77" s="57"/>
      <c r="I77" s="57"/>
      <c r="J77" s="57"/>
      <c r="K77" s="57"/>
    </row>
    <row r="78" ht="15.75" customHeight="1">
      <c r="A78" s="56"/>
      <c r="G78" s="57"/>
      <c r="H78" s="57"/>
      <c r="I78" s="57"/>
      <c r="J78" s="57"/>
      <c r="K78" s="57"/>
    </row>
    <row r="79" ht="15.75" customHeight="1">
      <c r="A79" s="56"/>
      <c r="G79" s="57"/>
      <c r="H79" s="57"/>
      <c r="I79" s="57"/>
      <c r="J79" s="57"/>
      <c r="K79" s="57"/>
    </row>
    <row r="80" ht="15.75" customHeight="1">
      <c r="A80" s="56"/>
      <c r="G80" s="57"/>
      <c r="H80" s="57"/>
      <c r="I80" s="57"/>
      <c r="J80" s="57"/>
      <c r="K80" s="57"/>
    </row>
    <row r="81" ht="15.75" customHeight="1">
      <c r="A81" s="56"/>
      <c r="G81" s="57"/>
      <c r="H81" s="57"/>
      <c r="I81" s="57"/>
      <c r="J81" s="57"/>
      <c r="K81" s="57"/>
    </row>
    <row r="82" ht="15.75" customHeight="1">
      <c r="A82" s="56"/>
      <c r="G82" s="57"/>
      <c r="H82" s="57"/>
      <c r="I82" s="57"/>
      <c r="J82" s="57"/>
      <c r="K82" s="57"/>
    </row>
    <row r="83" ht="15.75" customHeight="1">
      <c r="A83" s="56"/>
      <c r="G83" s="57"/>
      <c r="H83" s="57"/>
      <c r="I83" s="57"/>
      <c r="J83" s="57"/>
      <c r="K83" s="57"/>
    </row>
    <row r="84" ht="15.75" customHeight="1">
      <c r="A84" s="56"/>
      <c r="G84" s="57"/>
      <c r="H84" s="57"/>
      <c r="I84" s="57"/>
      <c r="J84" s="57"/>
      <c r="K84" s="57"/>
    </row>
    <row r="85" ht="15.75" customHeight="1">
      <c r="A85" s="56"/>
      <c r="G85" s="57"/>
      <c r="H85" s="57"/>
      <c r="I85" s="57"/>
      <c r="J85" s="57"/>
      <c r="K85" s="57"/>
    </row>
    <row r="86" ht="15.75" customHeight="1">
      <c r="A86" s="56"/>
      <c r="G86" s="57"/>
      <c r="H86" s="57"/>
      <c r="I86" s="57"/>
      <c r="J86" s="57"/>
      <c r="K86" s="57"/>
    </row>
    <row r="87" ht="15.75" customHeight="1">
      <c r="A87" s="56"/>
      <c r="G87" s="57"/>
      <c r="H87" s="57"/>
      <c r="I87" s="57"/>
      <c r="J87" s="57"/>
      <c r="K87" s="57"/>
    </row>
    <row r="88" ht="15.75" customHeight="1">
      <c r="A88" s="56"/>
      <c r="G88" s="57"/>
      <c r="H88" s="57"/>
      <c r="I88" s="57"/>
      <c r="J88" s="57"/>
      <c r="K88" s="57"/>
    </row>
    <row r="89" ht="15.75" customHeight="1">
      <c r="A89" s="56"/>
      <c r="G89" s="57"/>
      <c r="H89" s="57"/>
      <c r="I89" s="57"/>
      <c r="J89" s="57"/>
      <c r="K89" s="57"/>
    </row>
    <row r="90" ht="15.75" customHeight="1">
      <c r="A90" s="56"/>
      <c r="G90" s="57"/>
      <c r="H90" s="57"/>
      <c r="I90" s="57"/>
      <c r="J90" s="57"/>
      <c r="K90" s="57"/>
    </row>
    <row r="91" ht="15.75" customHeight="1">
      <c r="A91" s="56"/>
      <c r="G91" s="57"/>
      <c r="H91" s="57"/>
      <c r="I91" s="57"/>
      <c r="J91" s="57"/>
      <c r="K91" s="57"/>
    </row>
    <row r="92" ht="15.75" customHeight="1">
      <c r="A92" s="56"/>
      <c r="G92" s="57"/>
      <c r="H92" s="57"/>
      <c r="I92" s="57"/>
      <c r="J92" s="57"/>
      <c r="K92" s="57"/>
    </row>
    <row r="93" ht="15.75" customHeight="1">
      <c r="A93" s="56"/>
      <c r="G93" s="57"/>
      <c r="H93" s="57"/>
      <c r="I93" s="57"/>
      <c r="J93" s="57"/>
      <c r="K93" s="57"/>
    </row>
    <row r="94" ht="15.75" customHeight="1">
      <c r="A94" s="56"/>
      <c r="G94" s="57"/>
      <c r="H94" s="57"/>
      <c r="I94" s="57"/>
      <c r="J94" s="57"/>
      <c r="K94" s="57"/>
    </row>
    <row r="95" ht="15.75" customHeight="1">
      <c r="A95" s="56"/>
      <c r="G95" s="57"/>
      <c r="H95" s="57"/>
      <c r="I95" s="57"/>
      <c r="J95" s="57"/>
      <c r="K95" s="57"/>
    </row>
    <row r="96" ht="15.75" customHeight="1">
      <c r="A96" s="56"/>
      <c r="G96" s="57"/>
      <c r="H96" s="57"/>
      <c r="I96" s="57"/>
      <c r="J96" s="57"/>
      <c r="K96" s="57"/>
    </row>
    <row r="97" ht="15.75" customHeight="1">
      <c r="A97" s="56"/>
      <c r="G97" s="57"/>
      <c r="H97" s="57"/>
      <c r="I97" s="57"/>
      <c r="J97" s="57"/>
      <c r="K97" s="57"/>
    </row>
    <row r="98" ht="15.75" customHeight="1">
      <c r="A98" s="56"/>
      <c r="G98" s="57"/>
      <c r="H98" s="57"/>
      <c r="I98" s="57"/>
      <c r="J98" s="57"/>
      <c r="K98" s="57"/>
    </row>
    <row r="99" ht="15.75" customHeight="1">
      <c r="A99" s="56"/>
      <c r="G99" s="57"/>
      <c r="H99" s="57"/>
      <c r="I99" s="57"/>
      <c r="J99" s="57"/>
      <c r="K99" s="57"/>
    </row>
    <row r="100" ht="15.75" customHeight="1">
      <c r="A100" s="56"/>
      <c r="G100" s="57"/>
      <c r="H100" s="57"/>
      <c r="I100" s="57"/>
      <c r="J100" s="57"/>
      <c r="K100" s="57"/>
    </row>
    <row r="101" ht="15.75" customHeight="1">
      <c r="A101" s="56"/>
      <c r="G101" s="57"/>
      <c r="H101" s="57"/>
      <c r="I101" s="57"/>
      <c r="J101" s="57"/>
      <c r="K101" s="57"/>
    </row>
    <row r="102" ht="15.75" customHeight="1">
      <c r="A102" s="56"/>
      <c r="G102" s="57"/>
      <c r="H102" s="57"/>
      <c r="I102" s="57"/>
      <c r="J102" s="57"/>
      <c r="K102" s="57"/>
    </row>
    <row r="103" ht="15.75" customHeight="1">
      <c r="A103" s="56"/>
      <c r="G103" s="57"/>
      <c r="H103" s="57"/>
      <c r="I103" s="57"/>
      <c r="J103" s="57"/>
      <c r="K103" s="57"/>
    </row>
    <row r="104" ht="15.75" customHeight="1">
      <c r="A104" s="56"/>
      <c r="G104" s="57"/>
      <c r="H104" s="57"/>
      <c r="I104" s="57"/>
      <c r="J104" s="57"/>
      <c r="K104" s="57"/>
    </row>
    <row r="105" ht="15.75" customHeight="1">
      <c r="A105" s="56"/>
      <c r="G105" s="57"/>
      <c r="H105" s="57"/>
      <c r="I105" s="57"/>
      <c r="J105" s="57"/>
      <c r="K105" s="57"/>
    </row>
    <row r="106" ht="15.75" customHeight="1">
      <c r="A106" s="56"/>
      <c r="G106" s="57"/>
      <c r="H106" s="57"/>
      <c r="I106" s="57"/>
      <c r="J106" s="57"/>
      <c r="K106" s="57"/>
    </row>
    <row r="107" ht="15.75" customHeight="1">
      <c r="A107" s="56"/>
      <c r="G107" s="57"/>
      <c r="H107" s="57"/>
      <c r="I107" s="57"/>
      <c r="J107" s="57"/>
      <c r="K107" s="57"/>
    </row>
    <row r="108" ht="15.75" customHeight="1">
      <c r="A108" s="56"/>
      <c r="G108" s="57"/>
      <c r="H108" s="57"/>
      <c r="I108" s="57"/>
      <c r="J108" s="57"/>
      <c r="K108" s="57"/>
    </row>
    <row r="109" ht="15.75" customHeight="1">
      <c r="A109" s="56"/>
      <c r="G109" s="57"/>
      <c r="H109" s="57"/>
      <c r="I109" s="57"/>
      <c r="J109" s="57"/>
      <c r="K109" s="57"/>
    </row>
    <row r="110" ht="15.75" customHeight="1">
      <c r="A110" s="56"/>
      <c r="G110" s="57"/>
      <c r="H110" s="57"/>
      <c r="I110" s="57"/>
      <c r="J110" s="57"/>
      <c r="K110" s="57"/>
    </row>
    <row r="111" ht="15.75" customHeight="1">
      <c r="A111" s="56"/>
      <c r="G111" s="57"/>
      <c r="H111" s="57"/>
      <c r="I111" s="57"/>
      <c r="J111" s="57"/>
      <c r="K111" s="57"/>
    </row>
    <row r="112" ht="15.75" customHeight="1">
      <c r="A112" s="56"/>
      <c r="G112" s="57"/>
      <c r="H112" s="57"/>
      <c r="I112" s="57"/>
      <c r="J112" s="57"/>
      <c r="K112" s="57"/>
    </row>
    <row r="113" ht="15.75" customHeight="1">
      <c r="A113" s="56"/>
      <c r="G113" s="57"/>
      <c r="H113" s="57"/>
      <c r="I113" s="57"/>
      <c r="J113" s="57"/>
      <c r="K113" s="57"/>
    </row>
    <row r="114" ht="15.75" customHeight="1">
      <c r="A114" s="56"/>
      <c r="G114" s="57"/>
      <c r="H114" s="57"/>
      <c r="I114" s="57"/>
      <c r="J114" s="57"/>
      <c r="K114" s="57"/>
    </row>
    <row r="115" ht="15.75" customHeight="1">
      <c r="A115" s="56"/>
      <c r="G115" s="57"/>
      <c r="H115" s="57"/>
      <c r="I115" s="57"/>
      <c r="J115" s="57"/>
      <c r="K115" s="57"/>
    </row>
    <row r="116" ht="15.75" customHeight="1">
      <c r="A116" s="56"/>
      <c r="G116" s="57"/>
      <c r="H116" s="57"/>
      <c r="I116" s="57"/>
      <c r="J116" s="57"/>
      <c r="K116" s="57"/>
    </row>
    <row r="117" ht="15.75" customHeight="1">
      <c r="A117" s="56"/>
      <c r="G117" s="57"/>
      <c r="H117" s="57"/>
      <c r="I117" s="57"/>
      <c r="J117" s="57"/>
      <c r="K117" s="57"/>
    </row>
    <row r="118" ht="15.75" customHeight="1">
      <c r="A118" s="56"/>
      <c r="G118" s="57"/>
      <c r="H118" s="57"/>
      <c r="I118" s="57"/>
      <c r="J118" s="57"/>
      <c r="K118" s="57"/>
    </row>
    <row r="119" ht="15.75" customHeight="1">
      <c r="A119" s="56"/>
      <c r="G119" s="57"/>
      <c r="H119" s="57"/>
      <c r="I119" s="57"/>
      <c r="J119" s="57"/>
      <c r="K119" s="57"/>
    </row>
    <row r="120" ht="15.75" customHeight="1">
      <c r="A120" s="56"/>
      <c r="G120" s="57"/>
      <c r="H120" s="57"/>
      <c r="I120" s="57"/>
      <c r="J120" s="57"/>
      <c r="K120" s="57"/>
    </row>
    <row r="121" ht="15.75" customHeight="1">
      <c r="A121" s="56"/>
      <c r="G121" s="57"/>
      <c r="H121" s="57"/>
      <c r="I121" s="57"/>
      <c r="J121" s="57"/>
      <c r="K121" s="57"/>
    </row>
    <row r="122" ht="15.75" customHeight="1">
      <c r="A122" s="56"/>
      <c r="G122" s="57"/>
      <c r="H122" s="57"/>
      <c r="I122" s="57"/>
      <c r="J122" s="57"/>
      <c r="K122" s="57"/>
    </row>
    <row r="123" ht="15.75" customHeight="1">
      <c r="A123" s="56"/>
      <c r="G123" s="57"/>
      <c r="H123" s="57"/>
      <c r="I123" s="57"/>
      <c r="J123" s="57"/>
      <c r="K123" s="57"/>
    </row>
    <row r="124" ht="15.75" customHeight="1">
      <c r="A124" s="56"/>
      <c r="G124" s="57"/>
      <c r="H124" s="57"/>
      <c r="I124" s="57"/>
      <c r="J124" s="57"/>
      <c r="K124" s="57"/>
    </row>
    <row r="125" ht="15.75" customHeight="1">
      <c r="A125" s="56"/>
      <c r="G125" s="57"/>
      <c r="H125" s="57"/>
      <c r="I125" s="57"/>
      <c r="J125" s="57"/>
      <c r="K125" s="57"/>
    </row>
    <row r="126" ht="15.75" customHeight="1">
      <c r="A126" s="56"/>
      <c r="G126" s="57"/>
      <c r="H126" s="57"/>
      <c r="I126" s="57"/>
      <c r="J126" s="57"/>
      <c r="K126" s="57"/>
    </row>
    <row r="127" ht="15.75" customHeight="1">
      <c r="A127" s="56"/>
      <c r="G127" s="57"/>
      <c r="H127" s="57"/>
      <c r="I127" s="57"/>
      <c r="J127" s="57"/>
      <c r="K127" s="57"/>
    </row>
    <row r="128" ht="15.75" customHeight="1">
      <c r="A128" s="56"/>
      <c r="G128" s="57"/>
      <c r="H128" s="57"/>
      <c r="I128" s="57"/>
      <c r="J128" s="57"/>
      <c r="K128" s="57"/>
    </row>
    <row r="129" ht="15.75" customHeight="1">
      <c r="A129" s="56"/>
      <c r="G129" s="57"/>
      <c r="H129" s="57"/>
      <c r="I129" s="57"/>
      <c r="J129" s="57"/>
      <c r="K129" s="57"/>
    </row>
    <row r="130" ht="15.75" customHeight="1">
      <c r="A130" s="56"/>
      <c r="G130" s="57"/>
      <c r="H130" s="57"/>
      <c r="I130" s="57"/>
      <c r="J130" s="57"/>
      <c r="K130" s="57"/>
    </row>
    <row r="131" ht="15.75" customHeight="1">
      <c r="A131" s="56"/>
      <c r="G131" s="57"/>
      <c r="H131" s="57"/>
      <c r="I131" s="57"/>
      <c r="J131" s="57"/>
      <c r="K131" s="57"/>
    </row>
    <row r="132" ht="15.75" customHeight="1">
      <c r="A132" s="56"/>
      <c r="G132" s="57"/>
      <c r="H132" s="57"/>
      <c r="I132" s="57"/>
      <c r="J132" s="57"/>
      <c r="K132" s="57"/>
    </row>
    <row r="133" ht="15.75" customHeight="1">
      <c r="A133" s="56"/>
      <c r="G133" s="57"/>
      <c r="H133" s="57"/>
      <c r="I133" s="57"/>
      <c r="J133" s="57"/>
      <c r="K133" s="57"/>
    </row>
    <row r="134" ht="15.75" customHeight="1">
      <c r="A134" s="56"/>
      <c r="G134" s="57"/>
      <c r="H134" s="57"/>
      <c r="I134" s="57"/>
      <c r="J134" s="57"/>
      <c r="K134" s="57"/>
    </row>
    <row r="135" ht="15.75" customHeight="1">
      <c r="A135" s="56"/>
      <c r="G135" s="57"/>
      <c r="H135" s="57"/>
      <c r="I135" s="57"/>
      <c r="J135" s="57"/>
      <c r="K135" s="57"/>
    </row>
    <row r="136" ht="15.75" customHeight="1">
      <c r="A136" s="56"/>
      <c r="G136" s="57"/>
      <c r="H136" s="57"/>
      <c r="I136" s="57"/>
      <c r="J136" s="57"/>
      <c r="K136" s="57"/>
    </row>
    <row r="137" ht="15.75" customHeight="1">
      <c r="A137" s="56"/>
      <c r="G137" s="57"/>
      <c r="H137" s="57"/>
      <c r="I137" s="57"/>
      <c r="J137" s="57"/>
      <c r="K137" s="57"/>
    </row>
    <row r="138" ht="15.75" customHeight="1">
      <c r="A138" s="56"/>
      <c r="G138" s="57"/>
      <c r="H138" s="57"/>
      <c r="I138" s="57"/>
      <c r="J138" s="57"/>
      <c r="K138" s="57"/>
    </row>
    <row r="139" ht="15.75" customHeight="1">
      <c r="A139" s="56"/>
      <c r="G139" s="57"/>
      <c r="H139" s="57"/>
      <c r="I139" s="57"/>
      <c r="J139" s="57"/>
      <c r="K139" s="57"/>
    </row>
    <row r="140" ht="15.75" customHeight="1">
      <c r="A140" s="56"/>
      <c r="G140" s="57"/>
      <c r="H140" s="57"/>
      <c r="I140" s="57"/>
      <c r="J140" s="57"/>
      <c r="K140" s="57"/>
    </row>
    <row r="141" ht="15.75" customHeight="1">
      <c r="A141" s="56"/>
      <c r="G141" s="57"/>
      <c r="H141" s="57"/>
      <c r="I141" s="57"/>
      <c r="J141" s="57"/>
      <c r="K141" s="57"/>
    </row>
    <row r="142" ht="15.75" customHeight="1">
      <c r="A142" s="56"/>
      <c r="G142" s="57"/>
      <c r="H142" s="57"/>
      <c r="I142" s="57"/>
      <c r="J142" s="57"/>
      <c r="K142" s="57"/>
    </row>
    <row r="143" ht="15.75" customHeight="1">
      <c r="A143" s="56"/>
      <c r="G143" s="57"/>
      <c r="H143" s="57"/>
      <c r="I143" s="57"/>
      <c r="J143" s="57"/>
      <c r="K143" s="57"/>
    </row>
    <row r="144" ht="15.75" customHeight="1">
      <c r="A144" s="56"/>
      <c r="G144" s="57"/>
      <c r="H144" s="57"/>
      <c r="I144" s="57"/>
      <c r="J144" s="57"/>
      <c r="K144" s="57"/>
    </row>
    <row r="145" ht="15.75" customHeight="1">
      <c r="A145" s="56"/>
      <c r="G145" s="57"/>
      <c r="H145" s="57"/>
      <c r="I145" s="57"/>
      <c r="J145" s="57"/>
      <c r="K145" s="57"/>
    </row>
    <row r="146" ht="15.75" customHeight="1">
      <c r="A146" s="56"/>
      <c r="G146" s="57"/>
      <c r="H146" s="57"/>
      <c r="I146" s="57"/>
      <c r="J146" s="57"/>
      <c r="K146" s="57"/>
    </row>
    <row r="147" ht="15.75" customHeight="1">
      <c r="A147" s="56"/>
      <c r="G147" s="57"/>
      <c r="H147" s="57"/>
      <c r="I147" s="57"/>
      <c r="J147" s="57"/>
      <c r="K147" s="57"/>
    </row>
    <row r="148" ht="15.75" customHeight="1">
      <c r="A148" s="56"/>
      <c r="G148" s="57"/>
      <c r="H148" s="57"/>
      <c r="I148" s="57"/>
      <c r="J148" s="57"/>
      <c r="K148" s="57"/>
    </row>
    <row r="149" ht="15.75" customHeight="1">
      <c r="A149" s="56"/>
      <c r="G149" s="57"/>
      <c r="H149" s="57"/>
      <c r="I149" s="57"/>
      <c r="J149" s="57"/>
      <c r="K149" s="57"/>
    </row>
    <row r="150" ht="15.75" customHeight="1">
      <c r="A150" s="56"/>
      <c r="G150" s="57"/>
      <c r="H150" s="57"/>
      <c r="I150" s="57"/>
      <c r="J150" s="57"/>
      <c r="K150" s="57"/>
    </row>
    <row r="151" ht="15.75" customHeight="1">
      <c r="A151" s="56"/>
      <c r="G151" s="57"/>
      <c r="H151" s="57"/>
      <c r="I151" s="57"/>
      <c r="J151" s="57"/>
      <c r="K151" s="57"/>
    </row>
    <row r="152" ht="15.75" customHeight="1">
      <c r="A152" s="56"/>
      <c r="G152" s="57"/>
      <c r="H152" s="57"/>
      <c r="I152" s="57"/>
      <c r="J152" s="57"/>
      <c r="K152" s="57"/>
    </row>
    <row r="153" ht="15.75" customHeight="1">
      <c r="A153" s="56"/>
      <c r="G153" s="57"/>
      <c r="H153" s="57"/>
      <c r="I153" s="57"/>
      <c r="J153" s="57"/>
      <c r="K153" s="57"/>
    </row>
    <row r="154" ht="15.75" customHeight="1">
      <c r="A154" s="56"/>
      <c r="G154" s="57"/>
      <c r="H154" s="57"/>
      <c r="I154" s="57"/>
      <c r="J154" s="57"/>
      <c r="K154" s="57"/>
    </row>
    <row r="155" ht="15.75" customHeight="1">
      <c r="A155" s="56"/>
      <c r="G155" s="57"/>
      <c r="H155" s="57"/>
      <c r="I155" s="57"/>
      <c r="J155" s="57"/>
      <c r="K155" s="57"/>
    </row>
    <row r="156" ht="15.75" customHeight="1">
      <c r="A156" s="56"/>
      <c r="G156" s="57"/>
      <c r="H156" s="57"/>
      <c r="I156" s="57"/>
      <c r="J156" s="57"/>
      <c r="K156" s="57"/>
    </row>
    <row r="157" ht="15.75" customHeight="1">
      <c r="A157" s="56"/>
      <c r="G157" s="57"/>
      <c r="H157" s="57"/>
      <c r="I157" s="57"/>
      <c r="J157" s="57"/>
      <c r="K157" s="57"/>
    </row>
    <row r="158" ht="15.75" customHeight="1">
      <c r="A158" s="56"/>
      <c r="G158" s="57"/>
      <c r="H158" s="57"/>
      <c r="I158" s="57"/>
      <c r="J158" s="57"/>
      <c r="K158" s="57"/>
    </row>
    <row r="159" ht="15.75" customHeight="1">
      <c r="A159" s="56"/>
      <c r="G159" s="57"/>
      <c r="H159" s="57"/>
      <c r="I159" s="57"/>
      <c r="J159" s="57"/>
      <c r="K159" s="57"/>
    </row>
    <row r="160" ht="15.75" customHeight="1">
      <c r="A160" s="56"/>
      <c r="G160" s="57"/>
      <c r="H160" s="57"/>
      <c r="I160" s="57"/>
      <c r="J160" s="57"/>
      <c r="K160" s="57"/>
    </row>
    <row r="161" ht="15.75" customHeight="1">
      <c r="A161" s="56"/>
      <c r="G161" s="57"/>
      <c r="H161" s="57"/>
      <c r="I161" s="57"/>
      <c r="J161" s="57"/>
      <c r="K161" s="57"/>
    </row>
    <row r="162" ht="15.75" customHeight="1">
      <c r="A162" s="56"/>
      <c r="G162" s="57"/>
      <c r="H162" s="57"/>
      <c r="I162" s="57"/>
      <c r="J162" s="57"/>
      <c r="K162" s="57"/>
    </row>
    <row r="163" ht="15.75" customHeight="1">
      <c r="A163" s="56"/>
      <c r="G163" s="57"/>
      <c r="H163" s="57"/>
      <c r="I163" s="57"/>
      <c r="J163" s="57"/>
      <c r="K163" s="57"/>
    </row>
    <row r="164" ht="15.75" customHeight="1">
      <c r="A164" s="56"/>
      <c r="G164" s="57"/>
      <c r="H164" s="57"/>
      <c r="I164" s="57"/>
      <c r="J164" s="57"/>
      <c r="K164" s="57"/>
    </row>
    <row r="165" ht="15.75" customHeight="1">
      <c r="A165" s="56"/>
      <c r="G165" s="57"/>
      <c r="H165" s="57"/>
      <c r="I165" s="57"/>
      <c r="J165" s="57"/>
      <c r="K165" s="57"/>
    </row>
    <row r="166" ht="15.75" customHeight="1">
      <c r="A166" s="56"/>
      <c r="G166" s="57"/>
      <c r="H166" s="57"/>
      <c r="I166" s="57"/>
      <c r="J166" s="57"/>
      <c r="K166" s="57"/>
    </row>
    <row r="167" ht="15.75" customHeight="1">
      <c r="A167" s="56"/>
      <c r="G167" s="57"/>
      <c r="H167" s="57"/>
      <c r="I167" s="57"/>
      <c r="J167" s="57"/>
      <c r="K167" s="57"/>
    </row>
    <row r="168" ht="15.75" customHeight="1">
      <c r="A168" s="56"/>
      <c r="G168" s="57"/>
      <c r="H168" s="57"/>
      <c r="I168" s="57"/>
      <c r="J168" s="57"/>
      <c r="K168" s="57"/>
    </row>
    <row r="169" ht="15.75" customHeight="1">
      <c r="A169" s="56"/>
      <c r="G169" s="57"/>
      <c r="H169" s="57"/>
      <c r="I169" s="57"/>
      <c r="J169" s="57"/>
      <c r="K169" s="57"/>
    </row>
    <row r="170" ht="15.75" customHeight="1">
      <c r="A170" s="56"/>
      <c r="G170" s="57"/>
      <c r="H170" s="57"/>
      <c r="I170" s="57"/>
      <c r="J170" s="57"/>
      <c r="K170" s="57"/>
    </row>
    <row r="171" ht="15.75" customHeight="1">
      <c r="A171" s="56"/>
      <c r="G171" s="57"/>
      <c r="H171" s="57"/>
      <c r="I171" s="57"/>
      <c r="J171" s="57"/>
      <c r="K171" s="57"/>
    </row>
    <row r="172" ht="15.75" customHeight="1">
      <c r="A172" s="56"/>
      <c r="G172" s="57"/>
      <c r="H172" s="57"/>
      <c r="I172" s="57"/>
      <c r="J172" s="57"/>
      <c r="K172" s="57"/>
    </row>
    <row r="173" ht="15.75" customHeight="1">
      <c r="A173" s="56"/>
      <c r="G173" s="57"/>
      <c r="H173" s="57"/>
      <c r="I173" s="57"/>
      <c r="J173" s="57"/>
      <c r="K173" s="57"/>
    </row>
    <row r="174" ht="15.75" customHeight="1">
      <c r="A174" s="56"/>
      <c r="G174" s="57"/>
      <c r="H174" s="57"/>
      <c r="I174" s="57"/>
      <c r="J174" s="57"/>
      <c r="K174" s="57"/>
    </row>
    <row r="175" ht="15.75" customHeight="1">
      <c r="A175" s="56"/>
      <c r="G175" s="57"/>
      <c r="H175" s="57"/>
      <c r="I175" s="57"/>
      <c r="J175" s="57"/>
      <c r="K175" s="57"/>
    </row>
    <row r="176" ht="15.75" customHeight="1">
      <c r="A176" s="56"/>
      <c r="G176" s="57"/>
      <c r="H176" s="57"/>
      <c r="I176" s="57"/>
      <c r="J176" s="57"/>
      <c r="K176" s="57"/>
    </row>
    <row r="177" ht="15.75" customHeight="1">
      <c r="A177" s="56"/>
      <c r="G177" s="57"/>
      <c r="H177" s="57"/>
      <c r="I177" s="57"/>
      <c r="J177" s="57"/>
      <c r="K177" s="57"/>
    </row>
    <row r="178" ht="15.75" customHeight="1">
      <c r="A178" s="56"/>
      <c r="G178" s="57"/>
      <c r="H178" s="57"/>
      <c r="I178" s="57"/>
      <c r="J178" s="57"/>
      <c r="K178" s="57"/>
    </row>
    <row r="179" ht="15.75" customHeight="1">
      <c r="A179" s="56"/>
      <c r="G179" s="57"/>
      <c r="H179" s="57"/>
      <c r="I179" s="57"/>
      <c r="J179" s="57"/>
      <c r="K179" s="57"/>
    </row>
    <row r="180" ht="15.75" customHeight="1">
      <c r="A180" s="56"/>
      <c r="G180" s="57"/>
      <c r="H180" s="57"/>
      <c r="I180" s="57"/>
      <c r="J180" s="57"/>
      <c r="K180" s="57"/>
    </row>
    <row r="181" ht="15.75" customHeight="1">
      <c r="A181" s="56"/>
      <c r="G181" s="57"/>
      <c r="H181" s="57"/>
      <c r="I181" s="57"/>
      <c r="J181" s="57"/>
      <c r="K181" s="57"/>
    </row>
    <row r="182" ht="15.75" customHeight="1">
      <c r="A182" s="56"/>
      <c r="G182" s="57"/>
      <c r="H182" s="57"/>
      <c r="I182" s="57"/>
      <c r="J182" s="57"/>
      <c r="K182" s="57"/>
    </row>
    <row r="183" ht="15.75" customHeight="1">
      <c r="A183" s="56"/>
      <c r="G183" s="57"/>
      <c r="H183" s="57"/>
      <c r="I183" s="57"/>
      <c r="J183" s="57"/>
      <c r="K183" s="57"/>
    </row>
    <row r="184" ht="15.75" customHeight="1">
      <c r="A184" s="56"/>
      <c r="G184" s="57"/>
      <c r="H184" s="57"/>
      <c r="I184" s="57"/>
      <c r="J184" s="57"/>
      <c r="K184" s="57"/>
    </row>
    <row r="185" ht="15.75" customHeight="1">
      <c r="A185" s="56"/>
      <c r="G185" s="57"/>
      <c r="H185" s="57"/>
      <c r="I185" s="57"/>
      <c r="J185" s="57"/>
      <c r="K185" s="57"/>
    </row>
    <row r="186" ht="15.75" customHeight="1">
      <c r="A186" s="56"/>
      <c r="G186" s="57"/>
      <c r="H186" s="57"/>
      <c r="I186" s="57"/>
      <c r="J186" s="57"/>
      <c r="K186" s="57"/>
    </row>
    <row r="187" ht="15.75" customHeight="1">
      <c r="A187" s="56"/>
      <c r="G187" s="57"/>
      <c r="H187" s="57"/>
      <c r="I187" s="57"/>
      <c r="J187" s="57"/>
      <c r="K187" s="57"/>
    </row>
    <row r="188" ht="15.75" customHeight="1">
      <c r="A188" s="56"/>
      <c r="G188" s="57"/>
      <c r="H188" s="57"/>
      <c r="I188" s="57"/>
      <c r="J188" s="57"/>
      <c r="K188" s="57"/>
    </row>
    <row r="189" ht="15.75" customHeight="1">
      <c r="A189" s="56"/>
      <c r="G189" s="57"/>
      <c r="H189" s="57"/>
      <c r="I189" s="57"/>
      <c r="J189" s="57"/>
      <c r="K189" s="57"/>
    </row>
    <row r="190" ht="15.75" customHeight="1">
      <c r="A190" s="56"/>
      <c r="G190" s="57"/>
      <c r="H190" s="57"/>
      <c r="I190" s="57"/>
      <c r="J190" s="57"/>
      <c r="K190" s="57"/>
    </row>
    <row r="191" ht="15.75" customHeight="1">
      <c r="A191" s="56"/>
      <c r="G191" s="57"/>
      <c r="H191" s="57"/>
      <c r="I191" s="57"/>
      <c r="J191" s="57"/>
      <c r="K191" s="57"/>
    </row>
    <row r="192" ht="15.75" customHeight="1">
      <c r="A192" s="56"/>
      <c r="G192" s="57"/>
      <c r="H192" s="57"/>
      <c r="I192" s="57"/>
      <c r="J192" s="57"/>
      <c r="K192" s="57"/>
    </row>
    <row r="193" ht="15.75" customHeight="1">
      <c r="A193" s="56"/>
      <c r="G193" s="57"/>
      <c r="H193" s="57"/>
      <c r="I193" s="57"/>
      <c r="J193" s="57"/>
      <c r="K193" s="57"/>
    </row>
    <row r="194" ht="15.75" customHeight="1">
      <c r="A194" s="56"/>
      <c r="G194" s="57"/>
      <c r="H194" s="57"/>
      <c r="I194" s="57"/>
      <c r="J194" s="57"/>
      <c r="K194" s="57"/>
    </row>
    <row r="195" ht="15.75" customHeight="1">
      <c r="A195" s="56"/>
      <c r="G195" s="57"/>
      <c r="H195" s="57"/>
      <c r="I195" s="57"/>
      <c r="J195" s="57"/>
      <c r="K195" s="57"/>
    </row>
    <row r="196" ht="15.75" customHeight="1">
      <c r="A196" s="56"/>
      <c r="G196" s="57"/>
      <c r="H196" s="57"/>
      <c r="I196" s="57"/>
      <c r="J196" s="57"/>
      <c r="K196" s="57"/>
    </row>
    <row r="197" ht="15.75" customHeight="1">
      <c r="A197" s="56"/>
      <c r="G197" s="57"/>
      <c r="H197" s="57"/>
      <c r="I197" s="57"/>
      <c r="J197" s="57"/>
      <c r="K197" s="57"/>
    </row>
    <row r="198" ht="15.75" customHeight="1">
      <c r="A198" s="56"/>
      <c r="G198" s="57"/>
      <c r="H198" s="57"/>
      <c r="I198" s="57"/>
      <c r="J198" s="57"/>
      <c r="K198" s="57"/>
    </row>
    <row r="199" ht="15.75" customHeight="1">
      <c r="A199" s="56"/>
      <c r="G199" s="57"/>
      <c r="H199" s="57"/>
      <c r="I199" s="57"/>
      <c r="J199" s="57"/>
      <c r="K199" s="57"/>
    </row>
    <row r="200" ht="15.75" customHeight="1">
      <c r="A200" s="56"/>
      <c r="G200" s="57"/>
      <c r="H200" s="57"/>
      <c r="I200" s="57"/>
      <c r="J200" s="57"/>
      <c r="K200" s="57"/>
    </row>
    <row r="201" ht="15.75" customHeight="1">
      <c r="A201" s="56"/>
      <c r="G201" s="57"/>
      <c r="H201" s="57"/>
      <c r="I201" s="57"/>
      <c r="J201" s="57"/>
      <c r="K201" s="57"/>
    </row>
    <row r="202" ht="15.75" customHeight="1">
      <c r="A202" s="56"/>
      <c r="G202" s="57"/>
      <c r="H202" s="57"/>
      <c r="I202" s="57"/>
      <c r="J202" s="57"/>
      <c r="K202" s="57"/>
    </row>
    <row r="203" ht="15.75" customHeight="1">
      <c r="A203" s="56"/>
      <c r="G203" s="57"/>
      <c r="H203" s="57"/>
      <c r="I203" s="57"/>
      <c r="J203" s="57"/>
      <c r="K203" s="57"/>
    </row>
    <row r="204" ht="15.75" customHeight="1">
      <c r="A204" s="56"/>
      <c r="G204" s="57"/>
      <c r="H204" s="57"/>
      <c r="I204" s="57"/>
      <c r="J204" s="57"/>
      <c r="K204" s="57"/>
    </row>
    <row r="205" ht="15.75" customHeight="1">
      <c r="A205" s="56"/>
      <c r="G205" s="57"/>
      <c r="H205" s="57"/>
      <c r="I205" s="57"/>
      <c r="J205" s="57"/>
      <c r="K205" s="57"/>
    </row>
    <row r="206" ht="15.75" customHeight="1">
      <c r="A206" s="56"/>
      <c r="G206" s="57"/>
      <c r="H206" s="57"/>
      <c r="I206" s="57"/>
      <c r="J206" s="57"/>
      <c r="K206" s="57"/>
    </row>
    <row r="207" ht="15.75" customHeight="1">
      <c r="A207" s="56"/>
      <c r="G207" s="57"/>
      <c r="H207" s="57"/>
      <c r="I207" s="57"/>
      <c r="J207" s="57"/>
      <c r="K207" s="57"/>
    </row>
    <row r="208" ht="15.75" customHeight="1">
      <c r="A208" s="56"/>
      <c r="G208" s="57"/>
      <c r="H208" s="57"/>
      <c r="I208" s="57"/>
      <c r="J208" s="57"/>
      <c r="K208" s="57"/>
    </row>
    <row r="209" ht="15.75" customHeight="1">
      <c r="A209" s="56"/>
      <c r="G209" s="57"/>
      <c r="H209" s="57"/>
      <c r="I209" s="57"/>
      <c r="J209" s="57"/>
      <c r="K209" s="57"/>
    </row>
    <row r="210" ht="15.75" customHeight="1">
      <c r="A210" s="56"/>
      <c r="G210" s="57"/>
      <c r="H210" s="57"/>
      <c r="I210" s="57"/>
      <c r="J210" s="57"/>
      <c r="K210" s="57"/>
    </row>
    <row r="211" ht="15.75" customHeight="1">
      <c r="A211" s="56"/>
      <c r="G211" s="57"/>
      <c r="H211" s="57"/>
      <c r="I211" s="57"/>
      <c r="J211" s="57"/>
      <c r="K211" s="57"/>
    </row>
    <row r="212" ht="15.75" customHeight="1">
      <c r="A212" s="56"/>
      <c r="G212" s="57"/>
      <c r="H212" s="57"/>
      <c r="I212" s="57"/>
      <c r="J212" s="57"/>
      <c r="K212" s="57"/>
    </row>
    <row r="213" ht="15.75" customHeight="1">
      <c r="A213" s="56"/>
      <c r="G213" s="57"/>
      <c r="H213" s="57"/>
      <c r="I213" s="57"/>
      <c r="J213" s="57"/>
      <c r="K213" s="57"/>
    </row>
    <row r="214" ht="15.75" customHeight="1">
      <c r="A214" s="56"/>
      <c r="G214" s="57"/>
      <c r="H214" s="57"/>
      <c r="I214" s="57"/>
      <c r="J214" s="57"/>
      <c r="K214" s="57"/>
    </row>
    <row r="215" ht="15.75" customHeight="1">
      <c r="A215" s="56"/>
      <c r="G215" s="57"/>
      <c r="H215" s="57"/>
      <c r="I215" s="57"/>
      <c r="J215" s="57"/>
      <c r="K215" s="57"/>
    </row>
    <row r="216" ht="15.75" customHeight="1">
      <c r="A216" s="56"/>
      <c r="G216" s="57"/>
      <c r="H216" s="57"/>
      <c r="I216" s="57"/>
      <c r="J216" s="57"/>
      <c r="K216" s="57"/>
    </row>
    <row r="217" ht="15.75" customHeight="1">
      <c r="A217" s="56"/>
      <c r="G217" s="57"/>
      <c r="H217" s="57"/>
      <c r="I217" s="57"/>
      <c r="J217" s="57"/>
      <c r="K217" s="57"/>
    </row>
    <row r="218" ht="15.75" customHeight="1">
      <c r="A218" s="56"/>
      <c r="G218" s="57"/>
      <c r="H218" s="57"/>
      <c r="I218" s="57"/>
      <c r="J218" s="57"/>
      <c r="K218" s="57"/>
    </row>
    <row r="219" ht="15.75" customHeight="1">
      <c r="A219" s="56"/>
      <c r="G219" s="57"/>
      <c r="H219" s="57"/>
      <c r="I219" s="57"/>
      <c r="J219" s="57"/>
      <c r="K219" s="57"/>
    </row>
    <row r="220" ht="15.75" customHeight="1">
      <c r="A220" s="56"/>
      <c r="G220" s="57"/>
      <c r="H220" s="57"/>
      <c r="I220" s="57"/>
      <c r="J220" s="57"/>
      <c r="K220" s="5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F1"/>
    <mergeCell ref="G1:K1"/>
  </mergeCells>
  <hyperlinks>
    <hyperlink r:id="rId1" ref="G3"/>
    <hyperlink r:id="rId2" ref="G5"/>
    <hyperlink r:id="rId3" ref="G6"/>
    <hyperlink r:id="rId4" location="notes-for-production" ref="C11"/>
  </hyperlinks>
  <printOptions/>
  <pageMargins bottom="0.984027777777778" footer="0.0" header="0.0" left="0.747916666666667" right="0.747916666666667" top="0.984027777777778"/>
  <pageSetup paperSize="9" orientation="portrait"/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4.5"/>
  </cols>
  <sheetData>
    <row r="1" ht="15.75" customHeight="1"/>
    <row r="2" ht="15.75" customHeight="1"/>
    <row r="3" ht="15.75" customHeight="1"/>
    <row r="4" ht="15.75" customHeight="1">
      <c r="B4" s="60" t="s">
        <v>319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4"/>
  </hyperlinks>
  <printOptions/>
  <pageMargins bottom="0.984027777777778" footer="0.0" header="0.0" left="0.747916666666667" right="0.747916666666667" top="0.984027777777778"/>
  <pageSetup paperSize="9" orientation="portrait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4.5"/>
    <col customWidth="1" min="3" max="3" width="54.38"/>
    <col customWidth="1" min="4" max="26" width="14.5"/>
  </cols>
  <sheetData>
    <row r="1" ht="15.75" customHeight="1">
      <c r="A1" s="1"/>
      <c r="B1" s="1"/>
      <c r="C1" s="6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.75" customHeight="1">
      <c r="A2" s="1"/>
      <c r="B2" s="1"/>
      <c r="C2" s="1" t="s">
        <v>340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5.75" customHeight="1">
      <c r="A3" s="1"/>
      <c r="B3" s="1"/>
      <c r="C3" s="1" t="s">
        <v>341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5.75" customHeight="1">
      <c r="A4" s="1"/>
      <c r="B4" s="1"/>
      <c r="C4" s="1" t="s">
        <v>342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5.75" customHeight="1">
      <c r="A5" s="1"/>
      <c r="B5" s="1"/>
      <c r="C5" s="61" t="s">
        <v>343</v>
      </c>
      <c r="D5" s="1"/>
      <c r="E5" s="1"/>
      <c r="F5" s="1"/>
      <c r="G5" s="6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15.75" customHeight="1">
      <c r="A6" s="1"/>
      <c r="B6" s="1"/>
      <c r="C6" s="61" t="s">
        <v>344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15.75" customHeight="1">
      <c r="A7" s="1"/>
      <c r="B7" s="1"/>
      <c r="C7" s="6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15.75" customHeight="1">
      <c r="A8" s="1"/>
      <c r="B8" s="62" t="s">
        <v>345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5.75" customHeight="1">
      <c r="A9" s="1"/>
      <c r="B9" s="1"/>
      <c r="C9" s="1" t="s">
        <v>346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5.75" customHeight="1">
      <c r="A12" s="1"/>
      <c r="B12" s="62" t="s">
        <v>347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5.75" customHeight="1">
      <c r="A13" s="1"/>
      <c r="B13" s="1"/>
      <c r="C13" s="1" t="s">
        <v>348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5.75" customHeight="1">
      <c r="A14" s="1"/>
      <c r="B14" s="1"/>
      <c r="C14" s="2" t="s">
        <v>349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5.75" customHeight="1">
      <c r="A16" s="1"/>
      <c r="B16" s="1"/>
      <c r="C16" s="1" t="s">
        <v>350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5.75" customHeight="1">
      <c r="A17" s="1"/>
      <c r="B17" s="1"/>
      <c r="C17" s="1" t="s">
        <v>351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15.75" customHeight="1">
      <c r="A19" s="1"/>
      <c r="B19" s="1"/>
      <c r="C19" s="6" t="s">
        <v>352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5.75" customHeight="1">
      <c r="A22" s="1"/>
      <c r="B22" s="1"/>
      <c r="C22" s="1" t="s">
        <v>353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5.75" customHeight="1">
      <c r="A23" s="1"/>
      <c r="B23" s="1"/>
      <c r="C23" s="1"/>
      <c r="D23" s="63" t="s">
        <v>354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5.75" customHeight="1">
      <c r="A24" s="1"/>
      <c r="B24" s="1"/>
      <c r="C24" s="1"/>
      <c r="D24" s="63" t="s">
        <v>355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5.75" customHeight="1">
      <c r="A30" s="1"/>
      <c r="B30" s="1" t="s">
        <v>356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14"/>
  </hyperlinks>
  <printOptions/>
  <pageMargins bottom="0.984027777777778" footer="0.0" header="0.0" left="0.747916666666667" right="0.747916666666667" top="0.984027777777778"/>
  <pageSetup paperSize="9" orientation="portrait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4.5"/>
  </cols>
  <sheetData>
    <row r="1" ht="15.75" customHeight="1"/>
    <row r="2" ht="15.75" customHeight="1"/>
    <row r="3" ht="15.75" customHeight="1"/>
    <row r="4" ht="15.75" customHeight="1">
      <c r="B4" s="3" t="s">
        <v>357</v>
      </c>
    </row>
    <row r="5" ht="15.75" customHeight="1">
      <c r="B5" s="3" t="s">
        <v>358</v>
      </c>
    </row>
    <row r="6" ht="15.75" customHeight="1">
      <c r="B6" s="3" t="s">
        <v>359</v>
      </c>
      <c r="G6" s="17" t="s">
        <v>360</v>
      </c>
    </row>
    <row r="7" ht="15.75" customHeight="1">
      <c r="B7" s="3" t="s">
        <v>361</v>
      </c>
      <c r="G7" s="17" t="s">
        <v>362</v>
      </c>
    </row>
    <row r="8" ht="15.75" customHeight="1">
      <c r="B8" s="3" t="s">
        <v>363</v>
      </c>
    </row>
    <row r="9" ht="15.75" customHeight="1">
      <c r="B9" s="3" t="s">
        <v>364</v>
      </c>
    </row>
    <row r="10" ht="15.75" customHeight="1">
      <c r="B10" s="3" t="s">
        <v>365</v>
      </c>
    </row>
    <row r="11" ht="15.75" customHeight="1">
      <c r="B11" s="3" t="s">
        <v>366</v>
      </c>
    </row>
    <row r="12" ht="15.75" customHeight="1">
      <c r="B12" s="3" t="s">
        <v>367</v>
      </c>
    </row>
    <row r="13" ht="15.75" customHeight="1">
      <c r="B13" s="22" t="s">
        <v>368</v>
      </c>
    </row>
    <row r="14" ht="15.75" customHeight="1">
      <c r="B14" s="3" t="s">
        <v>369</v>
      </c>
      <c r="C14" s="64"/>
    </row>
    <row r="15" ht="15.75" customHeight="1"/>
    <row r="16" ht="15.75" customHeight="1">
      <c r="B16" s="3" t="s">
        <v>262</v>
      </c>
    </row>
    <row r="17" ht="15.75" customHeight="1">
      <c r="B17" s="3" t="s">
        <v>370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6"/>
    <hyperlink r:id="rId2" ref="G7"/>
  </hyperlinks>
  <printOptions/>
  <pageMargins bottom="0.984027777777778" footer="0.0" header="0.0" left="0.747916666666667" right="0.747916666666667" top="0.984027777777778"/>
  <pageSetup paperSize="9" orientation="portrait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4.5"/>
  </cols>
  <sheetData>
    <row r="1" ht="15.75" customHeight="1"/>
    <row r="2" ht="15.75" customHeight="1"/>
    <row r="3" ht="15.75" customHeight="1"/>
    <row r="4" ht="15.75" customHeight="1">
      <c r="B4" s="3" t="s">
        <v>371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4.5"/>
  </cols>
  <sheetData>
    <row r="1" ht="15.75" customHeight="1"/>
    <row r="2" ht="15.75" customHeight="1"/>
    <row r="3" ht="15.75" customHeight="1"/>
    <row r="4" ht="15.75" customHeight="1">
      <c r="B4" s="3" t="s">
        <v>372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4.5"/>
    <col customWidth="1" min="3" max="3" width="54.38"/>
    <col customWidth="1" min="4" max="26" width="14.5"/>
  </cols>
  <sheetData>
    <row r="1" ht="15.75" customHeight="1">
      <c r="A1" s="1"/>
      <c r="B1" s="1" t="s">
        <v>373</v>
      </c>
      <c r="C1" s="2" t="s">
        <v>374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 t="s">
        <v>375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 t="s">
        <v>346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2" t="s">
        <v>376</v>
      </c>
      <c r="D5" s="1"/>
      <c r="E5" s="1"/>
      <c r="F5" s="1"/>
      <c r="G5" s="2" t="s">
        <v>377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2" t="s">
        <v>378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62" t="s">
        <v>379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1" t="s">
        <v>380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 t="s">
        <v>381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 t="s">
        <v>348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2" t="s">
        <v>349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 t="s">
        <v>350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 t="s">
        <v>351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6" t="s">
        <v>352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 t="s">
        <v>353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63" t="s">
        <v>354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63" t="s">
        <v>355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 t="s">
        <v>356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1"/>
    <hyperlink r:id="rId2" ref="C5"/>
    <hyperlink r:id="rId3" ref="G5"/>
    <hyperlink r:id="rId4" ref="C6"/>
    <hyperlink r:id="rId5" ref="C9"/>
    <hyperlink r:id="rId6" ref="C14"/>
  </hyperlinks>
  <printOptions/>
  <pageMargins bottom="0.984027777777778" footer="0.0" header="0.0" left="0.747916666666667" right="0.747916666666667" top="0.984027777777778"/>
  <pageSetup paperSize="9" orientation="portrait"/>
  <drawing r:id="rId7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4.5"/>
    <col customWidth="1" min="3" max="3" width="56.75"/>
    <col customWidth="1" min="4" max="26" width="14.5"/>
  </cols>
  <sheetData>
    <row r="1" ht="15.75" customHeight="1"/>
    <row r="2" ht="15.75" customHeight="1">
      <c r="A2" s="3" t="s">
        <v>382</v>
      </c>
    </row>
    <row r="3" ht="15.75" customHeight="1">
      <c r="B3" s="3" t="s">
        <v>383</v>
      </c>
      <c r="C3" s="3" t="s">
        <v>384</v>
      </c>
    </row>
    <row r="4" ht="15.75" customHeight="1">
      <c r="B4" s="3" t="s">
        <v>385</v>
      </c>
      <c r="C4" s="24" t="s">
        <v>386</v>
      </c>
    </row>
    <row r="5" ht="15.75" customHeight="1">
      <c r="B5" s="3" t="s">
        <v>387</v>
      </c>
      <c r="C5" s="3" t="s">
        <v>388</v>
      </c>
    </row>
    <row r="6" ht="15.75" customHeight="1">
      <c r="B6" s="3"/>
      <c r="C6" s="3"/>
    </row>
    <row r="7" ht="15.75" customHeight="1">
      <c r="B7" s="3" t="s">
        <v>389</v>
      </c>
      <c r="C7" s="3" t="s">
        <v>390</v>
      </c>
    </row>
    <row r="8" ht="15.75" customHeight="1">
      <c r="B8" s="22" t="s">
        <v>391</v>
      </c>
      <c r="C8" s="3" t="s">
        <v>392</v>
      </c>
    </row>
    <row r="9" ht="15.75" customHeight="1">
      <c r="B9" s="3" t="s">
        <v>393</v>
      </c>
      <c r="C9" s="3" t="s">
        <v>394</v>
      </c>
      <c r="D9" s="65" t="s">
        <v>395</v>
      </c>
      <c r="E9" s="65">
        <v>150.0</v>
      </c>
      <c r="F9" s="3" t="s">
        <v>396</v>
      </c>
    </row>
    <row r="10" ht="15.75" customHeight="1">
      <c r="D10" s="65" t="s">
        <v>397</v>
      </c>
      <c r="E10" s="65">
        <f>E9*2</f>
        <v>300</v>
      </c>
      <c r="F10" s="65"/>
      <c r="G10" s="65" t="s">
        <v>398</v>
      </c>
      <c r="H10" s="65" t="s">
        <v>399</v>
      </c>
    </row>
    <row r="11" ht="15.75" customHeight="1">
      <c r="D11" s="65" t="s">
        <v>400</v>
      </c>
      <c r="E11" s="65">
        <v>2.0</v>
      </c>
      <c r="F11" s="65"/>
      <c r="G11" s="65">
        <f>E13*E12*E11</f>
        <v>16</v>
      </c>
      <c r="H11" s="65">
        <f t="shared" ref="H11:H13" si="1">E10*G11</f>
        <v>4800</v>
      </c>
    </row>
    <row r="12" ht="15.75" customHeight="1">
      <c r="D12" s="65" t="s">
        <v>401</v>
      </c>
      <c r="E12" s="65">
        <v>4.0</v>
      </c>
      <c r="F12" s="65"/>
      <c r="G12" s="65">
        <f>E12*E11</f>
        <v>8</v>
      </c>
      <c r="H12" s="65">
        <f t="shared" si="1"/>
        <v>16</v>
      </c>
    </row>
    <row r="13" ht="15.75" customHeight="1">
      <c r="D13" s="65" t="s">
        <v>402</v>
      </c>
      <c r="E13" s="65">
        <v>2.0</v>
      </c>
      <c r="F13" s="65"/>
      <c r="G13" s="65">
        <v>2.0</v>
      </c>
      <c r="H13" s="65">
        <f t="shared" si="1"/>
        <v>8</v>
      </c>
    </row>
    <row r="14" ht="15.75" customHeight="1">
      <c r="D14" s="65"/>
      <c r="E14" s="65"/>
      <c r="F14" s="65"/>
      <c r="G14" s="65"/>
      <c r="H14" s="65"/>
    </row>
    <row r="15" ht="15.75" customHeight="1">
      <c r="C15" s="66"/>
      <c r="D15" s="66"/>
      <c r="E15" s="66"/>
      <c r="F15" s="66"/>
      <c r="G15" s="66"/>
      <c r="H15" s="66"/>
      <c r="I15" s="66"/>
    </row>
    <row r="16" ht="15.75" customHeight="1">
      <c r="C16" s="66"/>
      <c r="D16" s="66"/>
      <c r="E16" s="66"/>
      <c r="F16" s="66"/>
      <c r="G16" s="66"/>
      <c r="H16" s="66"/>
      <c r="I16" s="66"/>
    </row>
    <row r="17" ht="15.75" customHeight="1">
      <c r="C17" s="66"/>
      <c r="D17" s="66"/>
      <c r="E17" s="66"/>
      <c r="F17" s="66"/>
      <c r="G17" s="66"/>
      <c r="H17" s="66"/>
      <c r="I17" s="66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4.5"/>
  </cols>
  <sheetData>
    <row r="1" ht="15.75" customHeight="1"/>
    <row r="2" ht="15.75" customHeight="1"/>
    <row r="3" ht="15.75" customHeight="1">
      <c r="B3" s="3" t="s">
        <v>403</v>
      </c>
    </row>
    <row r="4" ht="15.75" customHeight="1">
      <c r="B4" s="17" t="s">
        <v>404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4"/>
  </hyperlinks>
  <printOptions/>
  <pageMargins bottom="0.984027777777778" footer="0.0" header="0.0" left="0.747916666666667" right="0.747916666666667" top="0.984027777777778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